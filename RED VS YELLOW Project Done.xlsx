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51D57FDB-DD62-4402-A581-7319CE68DB4F}" xr6:coauthVersionLast="47" xr6:coauthVersionMax="47" xr10:uidLastSave="{00000000-0000-0000-0000-000000000000}"/>
  <bookViews>
    <workbookView xWindow="-110" yWindow="-110" windowWidth="19420" windowHeight="10300" xr2:uid="{5E04E303-439B-410A-9B82-8103FD7D14FA}"/>
  </bookViews>
  <sheets>
    <sheet name="Pivot tables and Charts" sheetId="2" r:id="rId1"/>
    <sheet name="RED VS YELLOW Project" sheetId="3" r:id="rId2"/>
    <sheet name="RED VS YELLOW" sheetId="1" r:id="rId3"/>
  </sheets>
  <definedNames>
    <definedName name="_xlcn.WorksheetConnection_REDVSYELLOWversion1.xlsbTable11" hidden="1">Table1[]</definedName>
    <definedName name="Slicer_How_often_do_you_experience_network_issues?">#N/A</definedName>
    <definedName name="Slicer_What_s_your_primary_network_provider">#N/A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D VS YELLOW (version 1).xlsb!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J3" i="1"/>
  <c r="J4" i="1"/>
  <c r="J5" i="1"/>
  <c r="J6" i="1"/>
  <c r="J7" i="1"/>
  <c r="J8" i="1"/>
  <c r="J9" i="1"/>
  <c r="J10" i="1"/>
  <c r="J11" i="1"/>
  <c r="J12" i="1"/>
  <c r="J13" i="1"/>
  <c r="J2" i="1"/>
  <c r="I3" i="1"/>
  <c r="I4" i="1"/>
  <c r="I5" i="1"/>
  <c r="I6" i="1"/>
  <c r="I7" i="1"/>
  <c r="I8" i="1"/>
  <c r="I9" i="1"/>
  <c r="I10" i="1"/>
  <c r="I11" i="1"/>
  <c r="I12" i="1"/>
  <c r="I13" i="1"/>
  <c r="I2" i="1"/>
  <c r="H3" i="1"/>
  <c r="H4" i="1"/>
  <c r="H5" i="1"/>
  <c r="H6" i="1"/>
  <c r="H7" i="1"/>
  <c r="H8" i="1"/>
  <c r="H9" i="1"/>
  <c r="H10" i="1"/>
  <c r="H11" i="1"/>
  <c r="H12" i="1"/>
  <c r="H13" i="1"/>
  <c r="H2" i="1"/>
  <c r="A19" i="1"/>
  <c r="B19" i="1"/>
  <c r="A18" i="1"/>
  <c r="B18" i="1"/>
  <c r="A17" i="1"/>
  <c r="A16" i="1"/>
  <c r="B16" i="1"/>
  <c r="B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C0833F-C98F-4D81-BF13-3D67B5B4CD3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8C5A2BDD-358A-4D5A-AED8-23E1D78239AC}" name="WorksheetConnection_RED VS YELLOW (version 1).xlsb!Table1" type="102" refreshedVersion="8" minRefreshableVersion="5">
    <extLst>
      <ext xmlns:x15="http://schemas.microsoft.com/office/spreadsheetml/2010/11/main" uri="{DE250136-89BD-433C-8126-D09CA5730AF9}">
        <x15:connection id="Table1">
          <x15:rangePr sourceName="_xlcn.WorksheetConnection_REDVSYELLOWversion1.xlsbTable11"/>
        </x15:connection>
      </ext>
    </extLst>
  </connection>
</connections>
</file>

<file path=xl/sharedStrings.xml><?xml version="1.0" encoding="utf-8"?>
<sst xmlns="http://schemas.openxmlformats.org/spreadsheetml/2006/main" count="135" uniqueCount="62">
  <si>
    <t>Timestamp</t>
  </si>
  <si>
    <t>Username</t>
  </si>
  <si>
    <t>What's your primary network provider</t>
  </si>
  <si>
    <t>How much do you spend on data monthly?</t>
  </si>
  <si>
    <t>How often do you experience network issues?</t>
  </si>
  <si>
    <t>What network do you believe is most reliable in your area?</t>
  </si>
  <si>
    <t>How likely are you to switch allegiances?</t>
  </si>
  <si>
    <t>Monthly_Spend_Numeric</t>
  </si>
  <si>
    <t>Future_Value_2yrs_10pct</t>
  </si>
  <si>
    <t>Present_Value_2yrs_10pct</t>
  </si>
  <si>
    <t>Monthly_Savings_for_1M_Goal</t>
  </si>
  <si>
    <t>koladefas02@gmail.com</t>
  </si>
  <si>
    <t>Airtel</t>
  </si>
  <si>
    <t>11,000 - 15,000</t>
  </si>
  <si>
    <t>Always馃槫</t>
  </si>
  <si>
    <t>Mtn</t>
  </si>
  <si>
    <t>Not Likely</t>
  </si>
  <si>
    <t>e.olatunji318@gmail.com</t>
  </si>
  <si>
    <t>In Consideration</t>
  </si>
  <si>
    <t>victoryoshomegie2002@gmail.com</t>
  </si>
  <si>
    <t>5,000 - 10,000</t>
  </si>
  <si>
    <t>edwardadakole10@gmail.com</t>
  </si>
  <si>
    <t>Other</t>
  </si>
  <si>
    <t>Likely</t>
  </si>
  <si>
    <t>2026/04/29 3:01:19 PM GMT+1</t>
  </si>
  <si>
    <t>ezefavourite007@gmail.com</t>
  </si>
  <si>
    <t>Rarely</t>
  </si>
  <si>
    <t>2026/04/29 3:11:19 PM GMT+1</t>
  </si>
  <si>
    <t>dnwankwo40@gmail.com</t>
  </si>
  <si>
    <t>2026/04/29 3:11:44 PM GMT+1</t>
  </si>
  <si>
    <t>azemhewisdom@gmail.com</t>
  </si>
  <si>
    <t>2026/04/29 3:13:41 PM GMT+1</t>
  </si>
  <si>
    <t>liftedjonah800@gmail.com</t>
  </si>
  <si>
    <t>16,000 - 25,000</t>
  </si>
  <si>
    <t>2026/04/29 3:25:10 PM GMT+1</t>
  </si>
  <si>
    <t>prospereze01@gmail.com</t>
  </si>
  <si>
    <t>2026/04/29 4:58:59 PM GMT+1</t>
  </si>
  <si>
    <t>francafrancis2002@gmail.com</t>
  </si>
  <si>
    <t>Others</t>
  </si>
  <si>
    <t>2026/04/29 7:30:58 PM GMT+1</t>
  </si>
  <si>
    <t>favourakhile234@gmail.com</t>
  </si>
  <si>
    <t>2026/04/29 9:28:29 PM GMT+1</t>
  </si>
  <si>
    <t>uruncleswife67@gmail.com</t>
  </si>
  <si>
    <t>Grand Total</t>
  </si>
  <si>
    <t>Network Share</t>
  </si>
  <si>
    <t>Count of Users</t>
  </si>
  <si>
    <t>Spending by Network</t>
  </si>
  <si>
    <t>Reliability Percepective</t>
  </si>
  <si>
    <t>Average of Future_Value_2yrs_10pct</t>
  </si>
  <si>
    <t>Average of Monthly_Spend_Numeric</t>
  </si>
  <si>
    <t>Issue Frequency</t>
  </si>
  <si>
    <t>FV by Network</t>
  </si>
  <si>
    <t>XLOOKUP</t>
  </si>
  <si>
    <t>INDEX</t>
  </si>
  <si>
    <t>2026/04/25 2:06:44 PM GMT+1</t>
  </si>
  <si>
    <t>2026/04/29 9:08:58 AM GMT+1</t>
  </si>
  <si>
    <t>2026/04/29 9:55:15 AM GMT+1</t>
  </si>
  <si>
    <t>2026/04/29 9:59:22 AM GMT+1</t>
  </si>
  <si>
    <t>C1601</t>
  </si>
  <si>
    <t>EZV1702</t>
  </si>
  <si>
    <t>RESTRICTIONS 1 2 3 4</t>
  </si>
  <si>
    <t>Loyalty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</si>
</sst>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
    <xf numFmtId="0" fontId="0" fillId="0" borderId="0" xfId="0"/>
    <xf numFmtId="8"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8" fillId="0" borderId="0" xfId="42"/>
    <xf numFmtId="0" fontId="19" fillId="0" borderId="0" xfId="0" applyFont="1" applyAlignment="1">
      <alignment vertical="center"/>
    </xf>
    <xf numFmtId="0" fontId="16" fillId="33" borderId="10" xfId="0" applyFont="1" applyFill="1" applyBorder="1"/>
    <xf numFmtId="0" fontId="0" fillId="0" borderId="10" xfId="0" applyBorder="1"/>
    <xf numFmtId="0" fontId="19" fillId="0" borderId="10" xfId="0" applyFont="1" applyBorder="1" applyAlignment="1">
      <alignment vertical="center"/>
    </xf>
    <xf numFmtId="14"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2" formatCode="&quot;$&quot;#,##0.00_);[Red]\(&quot;$&quot;#,##0.00\)"/>
    </dxf>
    <dxf>
      <numFmt numFmtId="12" formatCode="&quot;$&quot;#,##0.00_);[Red]\(&quot;$&quot;#,##0.00\)"/>
    </dxf>
    <dxf>
      <numFmt numFmtId="12" formatCode="&quot;$&quot;#,##0.00_);[Red]\(&quot;$&quot;#,##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6.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 and Charts'!$C$3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17-436D-9904-626FFD1B21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17-436D-9904-626FFD1B21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17-436D-9904-626FFD1B21F3}"/>
              </c:ext>
            </c:extLst>
          </c:dPt>
          <c:cat>
            <c:strRef>
              <c:f>'Pivot tables and Charts'!$B$4:$B$7</c:f>
              <c:strCache>
                <c:ptCount val="3"/>
                <c:pt idx="0">
                  <c:v>Airtel</c:v>
                </c:pt>
                <c:pt idx="1">
                  <c:v>Mtn</c:v>
                </c:pt>
                <c:pt idx="2">
                  <c:v>Others</c:v>
                </c:pt>
              </c:strCache>
            </c:strRef>
          </c:cat>
          <c:val>
            <c:numRef>
              <c:f>'Pivot tables and Charts'!$C$4:$C$7</c:f>
              <c:numCache>
                <c:formatCode>General</c:formatCode>
                <c:ptCount val="3"/>
                <c:pt idx="0">
                  <c:v>6</c:v>
                </c:pt>
                <c:pt idx="1">
                  <c:v>5</c:v>
                </c:pt>
                <c:pt idx="2">
                  <c:v>1</c:v>
                </c:pt>
              </c:numCache>
            </c:numRef>
          </c:val>
          <c:extLst>
            <c:ext xmlns:c16="http://schemas.microsoft.com/office/drawing/2014/chart" uri="{C3380CC4-5D6E-409C-BE32-E72D297353CC}">
              <c16:uniqueId val="{00000000-339D-4A77-A41E-2A94401B78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Charts'!$F$3</c:f>
              <c:strCache>
                <c:ptCount val="1"/>
                <c:pt idx="0">
                  <c:v>Total</c:v>
                </c:pt>
              </c:strCache>
            </c:strRef>
          </c:tx>
          <c:spPr>
            <a:solidFill>
              <a:schemeClr val="accent1"/>
            </a:solidFill>
            <a:ln>
              <a:noFill/>
            </a:ln>
            <a:effectLst/>
          </c:spPr>
          <c:invertIfNegative val="0"/>
          <c:cat>
            <c:strRef>
              <c:f>'Pivot tables and Charts'!$E$4:$E$7</c:f>
              <c:strCache>
                <c:ptCount val="3"/>
                <c:pt idx="0">
                  <c:v>Airtel</c:v>
                </c:pt>
                <c:pt idx="1">
                  <c:v>Mtn</c:v>
                </c:pt>
                <c:pt idx="2">
                  <c:v>Others</c:v>
                </c:pt>
              </c:strCache>
            </c:strRef>
          </c:cat>
          <c:val>
            <c:numRef>
              <c:f>'Pivot tables and Charts'!$F$4:$F$7</c:f>
              <c:numCache>
                <c:formatCode>General</c:formatCode>
                <c:ptCount val="3"/>
                <c:pt idx="0">
                  <c:v>11500</c:v>
                </c:pt>
                <c:pt idx="1">
                  <c:v>13400</c:v>
                </c:pt>
                <c:pt idx="2">
                  <c:v>20500</c:v>
                </c:pt>
              </c:numCache>
            </c:numRef>
          </c:val>
          <c:extLst>
            <c:ext xmlns:c16="http://schemas.microsoft.com/office/drawing/2014/chart" uri="{C3380CC4-5D6E-409C-BE32-E72D297353CC}">
              <c16:uniqueId val="{00000000-AA90-4899-8D23-CA1E4CBF254F}"/>
            </c:ext>
          </c:extLst>
        </c:ser>
        <c:dLbls>
          <c:showLegendKey val="0"/>
          <c:showVal val="0"/>
          <c:showCatName val="0"/>
          <c:showSerName val="0"/>
          <c:showPercent val="0"/>
          <c:showBubbleSize val="0"/>
        </c:dLbls>
        <c:gapWidth val="219"/>
        <c:overlap val="-27"/>
        <c:axId val="856105919"/>
        <c:axId val="856106399"/>
      </c:barChart>
      <c:catAx>
        <c:axId val="85610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06399"/>
        <c:crosses val="autoZero"/>
        <c:auto val="1"/>
        <c:lblAlgn val="ctr"/>
        <c:lblOffset val="100"/>
        <c:noMultiLvlLbl val="0"/>
      </c:catAx>
      <c:valAx>
        <c:axId val="85610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0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Charts!PivotTable3</c:name>
    <c:fmtId val="0"/>
  </c:pivotSource>
  <c:chart>
    <c:title>
      <c:layout>
        <c:manualLayout>
          <c:xMode val="edge"/>
          <c:yMode val="edge"/>
          <c:x val="0.42194729215120702"/>
          <c:y val="7.0336586258228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782465161152588E-2"/>
          <c:y val="0.28643299795858851"/>
          <c:w val="0.23998742017718402"/>
          <c:h val="0.62968613298337706"/>
        </c:manualLayout>
      </c:layout>
      <c:bar3DChart>
        <c:barDir val="bar"/>
        <c:grouping val="clustered"/>
        <c:varyColors val="0"/>
        <c:ser>
          <c:idx val="0"/>
          <c:order val="0"/>
          <c:tx>
            <c:strRef>
              <c:f>'Pivot tables and Charts'!$I$3</c:f>
              <c:strCache>
                <c:ptCount val="1"/>
                <c:pt idx="0">
                  <c:v>Total</c:v>
                </c:pt>
              </c:strCache>
            </c:strRef>
          </c:tx>
          <c:spPr>
            <a:solidFill>
              <a:schemeClr val="accent1"/>
            </a:solidFill>
            <a:ln>
              <a:noFill/>
            </a:ln>
            <a:effectLst/>
            <a:sp3d/>
          </c:spPr>
          <c:invertIfNegative val="0"/>
          <c:cat>
            <c:strRef>
              <c:f>'Pivot tables and Charts'!$H$4:$H$7</c:f>
              <c:strCache>
                <c:ptCount val="3"/>
                <c:pt idx="0">
                  <c:v>Airtel</c:v>
                </c:pt>
                <c:pt idx="1">
                  <c:v>Mtn</c:v>
                </c:pt>
                <c:pt idx="2">
                  <c:v>Other</c:v>
                </c:pt>
              </c:strCache>
            </c:strRef>
          </c:cat>
          <c:val>
            <c:numRef>
              <c:f>'Pivot tables and Charts'!$I$4:$I$7</c:f>
              <c:numCache>
                <c:formatCode>General</c:formatCode>
                <c:ptCount val="3"/>
                <c:pt idx="0">
                  <c:v>4</c:v>
                </c:pt>
                <c:pt idx="1">
                  <c:v>5</c:v>
                </c:pt>
                <c:pt idx="2">
                  <c:v>3</c:v>
                </c:pt>
              </c:numCache>
            </c:numRef>
          </c:val>
          <c:extLst>
            <c:ext xmlns:c16="http://schemas.microsoft.com/office/drawing/2014/chart" uri="{C3380CC4-5D6E-409C-BE32-E72D297353CC}">
              <c16:uniqueId val="{00000000-DB60-4F2A-8FDC-9D609FD40139}"/>
            </c:ext>
          </c:extLst>
        </c:ser>
        <c:dLbls>
          <c:showLegendKey val="0"/>
          <c:showVal val="0"/>
          <c:showCatName val="0"/>
          <c:showSerName val="0"/>
          <c:showPercent val="0"/>
          <c:showBubbleSize val="0"/>
        </c:dLbls>
        <c:gapWidth val="150"/>
        <c:shape val="box"/>
        <c:axId val="846210559"/>
        <c:axId val="846209599"/>
        <c:axId val="0"/>
      </c:bar3DChart>
      <c:catAx>
        <c:axId val="846210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09599"/>
        <c:crosses val="autoZero"/>
        <c:auto val="1"/>
        <c:lblAlgn val="ctr"/>
        <c:lblOffset val="100"/>
        <c:noMultiLvlLbl val="0"/>
      </c:catAx>
      <c:valAx>
        <c:axId val="84620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10559"/>
        <c:crosses val="autoZero"/>
        <c:crossBetween val="between"/>
      </c:valAx>
      <c:spPr>
        <a:noFill/>
        <a:ln>
          <a:noFill/>
        </a:ln>
        <a:effectLst/>
      </c:spPr>
    </c:plotArea>
    <c:legend>
      <c:legendPos val="r"/>
      <c:layout>
        <c:manualLayout>
          <c:xMode val="edge"/>
          <c:yMode val="edge"/>
          <c:x val="0.42193875963165434"/>
          <c:y val="0.69963983668708074"/>
          <c:w val="0.11009173632033011"/>
          <c:h val="0.134286614173228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and Charts'!$C$19</c:f>
              <c:strCache>
                <c:ptCount val="1"/>
                <c:pt idx="0">
                  <c:v>Total</c:v>
                </c:pt>
              </c:strCache>
            </c:strRef>
          </c:tx>
          <c:spPr>
            <a:solidFill>
              <a:schemeClr val="accent1"/>
            </a:solidFill>
            <a:ln>
              <a:noFill/>
            </a:ln>
            <a:effectLst/>
            <a:sp3d/>
          </c:spPr>
          <c:invertIfNegative val="0"/>
          <c:cat>
            <c:strRef>
              <c:f>'Pivot tables and Charts'!$B$20:$B$23</c:f>
              <c:strCache>
                <c:ptCount val="3"/>
                <c:pt idx="0">
                  <c:v>In Consideration</c:v>
                </c:pt>
                <c:pt idx="1">
                  <c:v>Likely</c:v>
                </c:pt>
                <c:pt idx="2">
                  <c:v>Not Likely</c:v>
                </c:pt>
              </c:strCache>
            </c:strRef>
          </c:cat>
          <c:val>
            <c:numRef>
              <c:f>'Pivot tables and Charts'!$C$20:$C$23</c:f>
              <c:numCache>
                <c:formatCode>General</c:formatCode>
                <c:ptCount val="3"/>
                <c:pt idx="0">
                  <c:v>4</c:v>
                </c:pt>
                <c:pt idx="1">
                  <c:v>3</c:v>
                </c:pt>
                <c:pt idx="2">
                  <c:v>5</c:v>
                </c:pt>
              </c:numCache>
            </c:numRef>
          </c:val>
          <c:extLst>
            <c:ext xmlns:c16="http://schemas.microsoft.com/office/drawing/2014/chart" uri="{C3380CC4-5D6E-409C-BE32-E72D297353CC}">
              <c16:uniqueId val="{00000000-15AA-4921-BC47-09BC0929AFDC}"/>
            </c:ext>
          </c:extLst>
        </c:ser>
        <c:dLbls>
          <c:showLegendKey val="0"/>
          <c:showVal val="0"/>
          <c:showCatName val="0"/>
          <c:showSerName val="0"/>
          <c:showPercent val="0"/>
          <c:showBubbleSize val="0"/>
        </c:dLbls>
        <c:gapWidth val="150"/>
        <c:shape val="box"/>
        <c:axId val="857858799"/>
        <c:axId val="857859759"/>
        <c:axId val="0"/>
      </c:bar3DChart>
      <c:catAx>
        <c:axId val="857858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59759"/>
        <c:crosses val="autoZero"/>
        <c:auto val="1"/>
        <c:lblAlgn val="ctr"/>
        <c:lblOffset val="100"/>
        <c:noMultiLvlLbl val="0"/>
      </c:catAx>
      <c:valAx>
        <c:axId val="85785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5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 and Charts'!$F$19</c:f>
              <c:strCache>
                <c:ptCount val="1"/>
                <c:pt idx="0">
                  <c:v>Total</c:v>
                </c:pt>
              </c:strCache>
            </c:strRef>
          </c:tx>
          <c:spPr>
            <a:solidFill>
              <a:schemeClr val="accent1"/>
            </a:solidFill>
            <a:ln>
              <a:noFill/>
            </a:ln>
            <a:effectLst/>
          </c:spPr>
          <c:cat>
            <c:strRef>
              <c:f>'Pivot tables and Charts'!$E$20:$E$23</c:f>
              <c:strCache>
                <c:ptCount val="3"/>
                <c:pt idx="0">
                  <c:v>Airtel</c:v>
                </c:pt>
                <c:pt idx="1">
                  <c:v>Mtn</c:v>
                </c:pt>
                <c:pt idx="2">
                  <c:v>Others</c:v>
                </c:pt>
              </c:strCache>
            </c:strRef>
          </c:cat>
          <c:val>
            <c:numRef>
              <c:f>'Pivot tables and Charts'!$F$20:$F$23</c:f>
              <c:numCache>
                <c:formatCode>0</c:formatCode>
                <c:ptCount val="3"/>
                <c:pt idx="0">
                  <c:v>304139.52833333332</c:v>
                </c:pt>
                <c:pt idx="1">
                  <c:v>354388.66600000003</c:v>
                </c:pt>
                <c:pt idx="2">
                  <c:v>542161.76</c:v>
                </c:pt>
              </c:numCache>
            </c:numRef>
          </c:val>
          <c:extLst>
            <c:ext xmlns:c16="http://schemas.microsoft.com/office/drawing/2014/chart" uri="{C3380CC4-5D6E-409C-BE32-E72D297353CC}">
              <c16:uniqueId val="{00000000-FB1C-4AED-9250-22DE6B8C943A}"/>
            </c:ext>
          </c:extLst>
        </c:ser>
        <c:dLbls>
          <c:showLegendKey val="0"/>
          <c:showVal val="0"/>
          <c:showCatName val="0"/>
          <c:showSerName val="0"/>
          <c:showPercent val="0"/>
          <c:showBubbleSize val="0"/>
        </c:dLbls>
        <c:axId val="209281407"/>
        <c:axId val="209281887"/>
      </c:areaChart>
      <c:catAx>
        <c:axId val="20928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81887"/>
        <c:crosses val="autoZero"/>
        <c:auto val="1"/>
        <c:lblAlgn val="ctr"/>
        <c:lblOffset val="100"/>
        <c:noMultiLvlLbl val="0"/>
      </c:catAx>
      <c:valAx>
        <c:axId val="209281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814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 and Charts'!$I$19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04-4A8F-A554-7062EB4837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04-4A8F-A554-7062EB483769}"/>
              </c:ext>
            </c:extLst>
          </c:dPt>
          <c:cat>
            <c:strRef>
              <c:f>'Pivot tables and Charts'!$H$20:$H$22</c:f>
              <c:strCache>
                <c:ptCount val="2"/>
                <c:pt idx="0">
                  <c:v>Always馃槫</c:v>
                </c:pt>
                <c:pt idx="1">
                  <c:v>Rarely</c:v>
                </c:pt>
              </c:strCache>
            </c:strRef>
          </c:cat>
          <c:val>
            <c:numRef>
              <c:f>'Pivot tables and Charts'!$I$20:$I$22</c:f>
              <c:numCache>
                <c:formatCode>General</c:formatCode>
                <c:ptCount val="2"/>
                <c:pt idx="0">
                  <c:v>10</c:v>
                </c:pt>
                <c:pt idx="1">
                  <c:v>2</c:v>
                </c:pt>
              </c:numCache>
            </c:numRef>
          </c:val>
          <c:extLst>
            <c:ext xmlns:c16="http://schemas.microsoft.com/office/drawing/2014/chart" uri="{C3380CC4-5D6E-409C-BE32-E72D297353CC}">
              <c16:uniqueId val="{00000000-2419-4658-88A7-3DA45701F6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 and Charts'!$C$3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43-46F0-9D82-A5726B9559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43-46F0-9D82-A5726B9559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43-46F0-9D82-A5726B9559AC}"/>
              </c:ext>
            </c:extLst>
          </c:dPt>
          <c:cat>
            <c:strRef>
              <c:f>'Pivot tables and Charts'!$B$4:$B$7</c:f>
              <c:strCache>
                <c:ptCount val="3"/>
                <c:pt idx="0">
                  <c:v>Airtel</c:v>
                </c:pt>
                <c:pt idx="1">
                  <c:v>Mtn</c:v>
                </c:pt>
                <c:pt idx="2">
                  <c:v>Others</c:v>
                </c:pt>
              </c:strCache>
            </c:strRef>
          </c:cat>
          <c:val>
            <c:numRef>
              <c:f>'Pivot tables and Charts'!$C$4:$C$7</c:f>
              <c:numCache>
                <c:formatCode>General</c:formatCode>
                <c:ptCount val="3"/>
                <c:pt idx="0">
                  <c:v>6</c:v>
                </c:pt>
                <c:pt idx="1">
                  <c:v>5</c:v>
                </c:pt>
                <c:pt idx="2">
                  <c:v>1</c:v>
                </c:pt>
              </c:numCache>
            </c:numRef>
          </c:val>
          <c:extLst>
            <c:ext xmlns:c16="http://schemas.microsoft.com/office/drawing/2014/chart" uri="{C3380CC4-5D6E-409C-BE32-E72D297353CC}">
              <c16:uniqueId val="{00000006-2C43-46F0-9D82-A5726B9559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Charts'!$F$3</c:f>
              <c:strCache>
                <c:ptCount val="1"/>
                <c:pt idx="0">
                  <c:v>Total</c:v>
                </c:pt>
              </c:strCache>
            </c:strRef>
          </c:tx>
          <c:spPr>
            <a:solidFill>
              <a:schemeClr val="accent1"/>
            </a:solidFill>
            <a:ln>
              <a:noFill/>
            </a:ln>
            <a:effectLst/>
          </c:spPr>
          <c:invertIfNegative val="0"/>
          <c:cat>
            <c:strRef>
              <c:f>'Pivot tables and Charts'!$E$4:$E$7</c:f>
              <c:strCache>
                <c:ptCount val="3"/>
                <c:pt idx="0">
                  <c:v>Airtel</c:v>
                </c:pt>
                <c:pt idx="1">
                  <c:v>Mtn</c:v>
                </c:pt>
                <c:pt idx="2">
                  <c:v>Others</c:v>
                </c:pt>
              </c:strCache>
            </c:strRef>
          </c:cat>
          <c:val>
            <c:numRef>
              <c:f>'Pivot tables and Charts'!$F$4:$F$7</c:f>
              <c:numCache>
                <c:formatCode>General</c:formatCode>
                <c:ptCount val="3"/>
                <c:pt idx="0">
                  <c:v>11500</c:v>
                </c:pt>
                <c:pt idx="1">
                  <c:v>13400</c:v>
                </c:pt>
                <c:pt idx="2">
                  <c:v>20500</c:v>
                </c:pt>
              </c:numCache>
            </c:numRef>
          </c:val>
          <c:extLst>
            <c:ext xmlns:c16="http://schemas.microsoft.com/office/drawing/2014/chart" uri="{C3380CC4-5D6E-409C-BE32-E72D297353CC}">
              <c16:uniqueId val="{00000000-CA9F-4F88-97F5-C670C029E783}"/>
            </c:ext>
          </c:extLst>
        </c:ser>
        <c:dLbls>
          <c:showLegendKey val="0"/>
          <c:showVal val="0"/>
          <c:showCatName val="0"/>
          <c:showSerName val="0"/>
          <c:showPercent val="0"/>
          <c:showBubbleSize val="0"/>
        </c:dLbls>
        <c:gapWidth val="219"/>
        <c:overlap val="-27"/>
        <c:axId val="856105919"/>
        <c:axId val="856106399"/>
      </c:barChart>
      <c:catAx>
        <c:axId val="85610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06399"/>
        <c:crosses val="autoZero"/>
        <c:auto val="1"/>
        <c:lblAlgn val="ctr"/>
        <c:lblOffset val="100"/>
        <c:noMultiLvlLbl val="0"/>
      </c:catAx>
      <c:valAx>
        <c:axId val="85610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0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Charts!PivotTable3</c:name>
    <c:fmtId val="5"/>
  </c:pivotSource>
  <c:chart>
    <c:title>
      <c:layout>
        <c:manualLayout>
          <c:xMode val="edge"/>
          <c:yMode val="edge"/>
          <c:x val="0.28360653221446064"/>
          <c:y val="5.5098312710911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782465161152588E-2"/>
          <c:y val="0.28643299795858851"/>
          <c:w val="0.23998742017718402"/>
          <c:h val="0.62968613298337706"/>
        </c:manualLayout>
      </c:layout>
      <c:bar3DChart>
        <c:barDir val="bar"/>
        <c:grouping val="clustered"/>
        <c:varyColors val="0"/>
        <c:ser>
          <c:idx val="0"/>
          <c:order val="0"/>
          <c:tx>
            <c:strRef>
              <c:f>'Pivot tables and Charts'!$I$3</c:f>
              <c:strCache>
                <c:ptCount val="1"/>
                <c:pt idx="0">
                  <c:v>Total</c:v>
                </c:pt>
              </c:strCache>
            </c:strRef>
          </c:tx>
          <c:spPr>
            <a:solidFill>
              <a:schemeClr val="accent1"/>
            </a:solidFill>
            <a:ln>
              <a:noFill/>
            </a:ln>
            <a:effectLst/>
            <a:sp3d/>
          </c:spPr>
          <c:invertIfNegative val="0"/>
          <c:cat>
            <c:strRef>
              <c:f>'Pivot tables and Charts'!$H$4:$H$7</c:f>
              <c:strCache>
                <c:ptCount val="3"/>
                <c:pt idx="0">
                  <c:v>Airtel</c:v>
                </c:pt>
                <c:pt idx="1">
                  <c:v>Mtn</c:v>
                </c:pt>
                <c:pt idx="2">
                  <c:v>Other</c:v>
                </c:pt>
              </c:strCache>
            </c:strRef>
          </c:cat>
          <c:val>
            <c:numRef>
              <c:f>'Pivot tables and Charts'!$I$4:$I$7</c:f>
              <c:numCache>
                <c:formatCode>General</c:formatCode>
                <c:ptCount val="3"/>
                <c:pt idx="0">
                  <c:v>4</c:v>
                </c:pt>
                <c:pt idx="1">
                  <c:v>5</c:v>
                </c:pt>
                <c:pt idx="2">
                  <c:v>3</c:v>
                </c:pt>
              </c:numCache>
            </c:numRef>
          </c:val>
          <c:extLst>
            <c:ext xmlns:c16="http://schemas.microsoft.com/office/drawing/2014/chart" uri="{C3380CC4-5D6E-409C-BE32-E72D297353CC}">
              <c16:uniqueId val="{00000000-5787-4762-8637-99E3C9AB5B48}"/>
            </c:ext>
          </c:extLst>
        </c:ser>
        <c:dLbls>
          <c:showLegendKey val="0"/>
          <c:showVal val="0"/>
          <c:showCatName val="0"/>
          <c:showSerName val="0"/>
          <c:showPercent val="0"/>
          <c:showBubbleSize val="0"/>
        </c:dLbls>
        <c:gapWidth val="150"/>
        <c:shape val="box"/>
        <c:axId val="846210559"/>
        <c:axId val="846209599"/>
        <c:axId val="0"/>
      </c:bar3DChart>
      <c:catAx>
        <c:axId val="846210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09599"/>
        <c:crosses val="autoZero"/>
        <c:auto val="1"/>
        <c:lblAlgn val="ctr"/>
        <c:lblOffset val="100"/>
        <c:noMultiLvlLbl val="0"/>
      </c:catAx>
      <c:valAx>
        <c:axId val="84620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10559"/>
        <c:crosses val="autoZero"/>
        <c:crossBetween val="between"/>
      </c:valAx>
      <c:spPr>
        <a:noFill/>
        <a:ln>
          <a:noFill/>
        </a:ln>
        <a:effectLst/>
      </c:spPr>
    </c:plotArea>
    <c:legend>
      <c:legendPos val="r"/>
      <c:layout>
        <c:manualLayout>
          <c:xMode val="edge"/>
          <c:yMode val="edge"/>
          <c:x val="0.34648023520883792"/>
          <c:y val="0.70725879265091862"/>
          <c:w val="0.11033212652476763"/>
          <c:h val="0.134286614173228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 and Charts'!$C$19</c:f>
              <c:strCache>
                <c:ptCount val="1"/>
                <c:pt idx="0">
                  <c:v>Total</c:v>
                </c:pt>
              </c:strCache>
            </c:strRef>
          </c:tx>
          <c:spPr>
            <a:solidFill>
              <a:schemeClr val="accent1"/>
            </a:solidFill>
            <a:ln>
              <a:noFill/>
            </a:ln>
            <a:effectLst/>
            <a:sp3d/>
          </c:spPr>
          <c:invertIfNegative val="0"/>
          <c:cat>
            <c:strRef>
              <c:f>'Pivot tables and Charts'!$B$20:$B$23</c:f>
              <c:strCache>
                <c:ptCount val="3"/>
                <c:pt idx="0">
                  <c:v>In Consideration</c:v>
                </c:pt>
                <c:pt idx="1">
                  <c:v>Likely</c:v>
                </c:pt>
                <c:pt idx="2">
                  <c:v>Not Likely</c:v>
                </c:pt>
              </c:strCache>
            </c:strRef>
          </c:cat>
          <c:val>
            <c:numRef>
              <c:f>'Pivot tables and Charts'!$C$20:$C$23</c:f>
              <c:numCache>
                <c:formatCode>General</c:formatCode>
                <c:ptCount val="3"/>
                <c:pt idx="0">
                  <c:v>4</c:v>
                </c:pt>
                <c:pt idx="1">
                  <c:v>3</c:v>
                </c:pt>
                <c:pt idx="2">
                  <c:v>5</c:v>
                </c:pt>
              </c:numCache>
            </c:numRef>
          </c:val>
          <c:extLst>
            <c:ext xmlns:c16="http://schemas.microsoft.com/office/drawing/2014/chart" uri="{C3380CC4-5D6E-409C-BE32-E72D297353CC}">
              <c16:uniqueId val="{00000000-2E76-47E6-95D7-5DA92A168503}"/>
            </c:ext>
          </c:extLst>
        </c:ser>
        <c:dLbls>
          <c:showLegendKey val="0"/>
          <c:showVal val="0"/>
          <c:showCatName val="0"/>
          <c:showSerName val="0"/>
          <c:showPercent val="0"/>
          <c:showBubbleSize val="0"/>
        </c:dLbls>
        <c:gapWidth val="150"/>
        <c:shape val="box"/>
        <c:axId val="857858799"/>
        <c:axId val="857859759"/>
        <c:axId val="0"/>
      </c:bar3DChart>
      <c:catAx>
        <c:axId val="857858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59759"/>
        <c:crosses val="autoZero"/>
        <c:auto val="1"/>
        <c:lblAlgn val="ctr"/>
        <c:lblOffset val="100"/>
        <c:noMultiLvlLbl val="0"/>
      </c:catAx>
      <c:valAx>
        <c:axId val="85785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5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 and Charts'!$F$19</c:f>
              <c:strCache>
                <c:ptCount val="1"/>
                <c:pt idx="0">
                  <c:v>Total</c:v>
                </c:pt>
              </c:strCache>
            </c:strRef>
          </c:tx>
          <c:spPr>
            <a:solidFill>
              <a:schemeClr val="accent1"/>
            </a:solidFill>
            <a:ln>
              <a:noFill/>
            </a:ln>
            <a:effectLst/>
          </c:spPr>
          <c:cat>
            <c:strRef>
              <c:f>'Pivot tables and Charts'!$E$20:$E$23</c:f>
              <c:strCache>
                <c:ptCount val="3"/>
                <c:pt idx="0">
                  <c:v>Airtel</c:v>
                </c:pt>
                <c:pt idx="1">
                  <c:v>Mtn</c:v>
                </c:pt>
                <c:pt idx="2">
                  <c:v>Others</c:v>
                </c:pt>
              </c:strCache>
            </c:strRef>
          </c:cat>
          <c:val>
            <c:numRef>
              <c:f>'Pivot tables and Charts'!$F$20:$F$23</c:f>
              <c:numCache>
                <c:formatCode>0</c:formatCode>
                <c:ptCount val="3"/>
                <c:pt idx="0">
                  <c:v>304139.52833333332</c:v>
                </c:pt>
                <c:pt idx="1">
                  <c:v>354388.66600000003</c:v>
                </c:pt>
                <c:pt idx="2">
                  <c:v>542161.76</c:v>
                </c:pt>
              </c:numCache>
            </c:numRef>
          </c:val>
          <c:extLst>
            <c:ext xmlns:c16="http://schemas.microsoft.com/office/drawing/2014/chart" uri="{C3380CC4-5D6E-409C-BE32-E72D297353CC}">
              <c16:uniqueId val="{00000000-45C9-44BB-80CF-C0616CA6ACDB}"/>
            </c:ext>
          </c:extLst>
        </c:ser>
        <c:dLbls>
          <c:showLegendKey val="0"/>
          <c:showVal val="0"/>
          <c:showCatName val="0"/>
          <c:showSerName val="0"/>
          <c:showPercent val="0"/>
          <c:showBubbleSize val="0"/>
        </c:dLbls>
        <c:axId val="209281407"/>
        <c:axId val="209281887"/>
      </c:areaChart>
      <c:catAx>
        <c:axId val="20928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81887"/>
        <c:crosses val="autoZero"/>
        <c:auto val="1"/>
        <c:lblAlgn val="ctr"/>
        <c:lblOffset val="100"/>
        <c:noMultiLvlLbl val="0"/>
      </c:catAx>
      <c:valAx>
        <c:axId val="209281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814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 Done.xlsx]Pivot tables and Charts!PivotTable6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6.3981020083215726E-2"/>
          <c:y val="0.27181929573902797"/>
          <c:w val="0.56390601162988208"/>
          <c:h val="0.66299554949172379"/>
        </c:manualLayout>
      </c:layout>
      <c:doughnutChart>
        <c:varyColors val="1"/>
        <c:ser>
          <c:idx val="0"/>
          <c:order val="0"/>
          <c:tx>
            <c:strRef>
              <c:f>'Pivot tables and Charts'!$I$19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FB-4F05-8FDF-DD1ACFFDC0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FB-4F05-8FDF-DD1ACFFDC0FB}"/>
              </c:ext>
            </c:extLst>
          </c:dPt>
          <c:cat>
            <c:strRef>
              <c:f>'Pivot tables and Charts'!$H$20:$H$22</c:f>
              <c:strCache>
                <c:ptCount val="2"/>
                <c:pt idx="0">
                  <c:v>Always馃槫</c:v>
                </c:pt>
                <c:pt idx="1">
                  <c:v>Rarely</c:v>
                </c:pt>
              </c:strCache>
            </c:strRef>
          </c:cat>
          <c:val>
            <c:numRef>
              <c:f>'Pivot tables and Charts'!$I$20:$I$22</c:f>
              <c:numCache>
                <c:formatCode>General</c:formatCode>
                <c:ptCount val="2"/>
                <c:pt idx="0">
                  <c:v>10</c:v>
                </c:pt>
                <c:pt idx="1">
                  <c:v>2</c:v>
                </c:pt>
              </c:numCache>
            </c:numRef>
          </c:val>
          <c:extLst>
            <c:ext xmlns:c16="http://schemas.microsoft.com/office/drawing/2014/chart" uri="{C3380CC4-5D6E-409C-BE32-E72D297353CC}">
              <c16:uniqueId val="{00000004-C7FB-4F05-8FDF-DD1ACFFDC0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2646</xdr:colOff>
      <xdr:row>8</xdr:row>
      <xdr:rowOff>0</xdr:rowOff>
    </xdr:from>
    <xdr:to>
      <xdr:col>3</xdr:col>
      <xdr:colOff>432154</xdr:colOff>
      <xdr:row>17</xdr:row>
      <xdr:rowOff>52917</xdr:rowOff>
    </xdr:to>
    <xdr:graphicFrame macro="">
      <xdr:nvGraphicFramePr>
        <xdr:cNvPr id="2" name="Chart 1">
          <a:extLst>
            <a:ext uri="{FF2B5EF4-FFF2-40B4-BE49-F238E27FC236}">
              <a16:creationId xmlns:a16="http://schemas.microsoft.com/office/drawing/2014/main" id="{D5859456-7CD5-8C07-0800-05D3F54CB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2647</xdr:colOff>
      <xdr:row>8</xdr:row>
      <xdr:rowOff>0</xdr:rowOff>
    </xdr:from>
    <xdr:to>
      <xdr:col>5</xdr:col>
      <xdr:colOff>2151945</xdr:colOff>
      <xdr:row>17</xdr:row>
      <xdr:rowOff>0</xdr:rowOff>
    </xdr:to>
    <xdr:graphicFrame macro="">
      <xdr:nvGraphicFramePr>
        <xdr:cNvPr id="3" name="Chart 2">
          <a:extLst>
            <a:ext uri="{FF2B5EF4-FFF2-40B4-BE49-F238E27FC236}">
              <a16:creationId xmlns:a16="http://schemas.microsoft.com/office/drawing/2014/main" id="{17008AF9-4BA8-BDB7-00DD-B0DCAAC3B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8821</xdr:colOff>
      <xdr:row>8</xdr:row>
      <xdr:rowOff>-1</xdr:rowOff>
    </xdr:from>
    <xdr:to>
      <xdr:col>10</xdr:col>
      <xdr:colOff>8820</xdr:colOff>
      <xdr:row>17</xdr:row>
      <xdr:rowOff>-1</xdr:rowOff>
    </xdr:to>
    <xdr:graphicFrame macro="">
      <xdr:nvGraphicFramePr>
        <xdr:cNvPr id="4" name="Chart 3">
          <a:extLst>
            <a:ext uri="{FF2B5EF4-FFF2-40B4-BE49-F238E27FC236}">
              <a16:creationId xmlns:a16="http://schemas.microsoft.com/office/drawing/2014/main" id="{5412119C-BD15-D4E3-4373-7D9BF179A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2646</xdr:colOff>
      <xdr:row>23</xdr:row>
      <xdr:rowOff>176388</xdr:rowOff>
    </xdr:from>
    <xdr:to>
      <xdr:col>3</xdr:col>
      <xdr:colOff>546806</xdr:colOff>
      <xdr:row>35</xdr:row>
      <xdr:rowOff>97190</xdr:rowOff>
    </xdr:to>
    <xdr:graphicFrame macro="">
      <xdr:nvGraphicFramePr>
        <xdr:cNvPr id="6" name="Chart 5">
          <a:extLst>
            <a:ext uri="{FF2B5EF4-FFF2-40B4-BE49-F238E27FC236}">
              <a16:creationId xmlns:a16="http://schemas.microsoft.com/office/drawing/2014/main" id="{9A63EFEA-0FA3-25B5-5EF6-F76280098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8820</xdr:colOff>
      <xdr:row>24</xdr:row>
      <xdr:rowOff>8818</xdr:rowOff>
    </xdr:from>
    <xdr:to>
      <xdr:col>5</xdr:col>
      <xdr:colOff>2160763</xdr:colOff>
      <xdr:row>35</xdr:row>
      <xdr:rowOff>88193</xdr:rowOff>
    </xdr:to>
    <xdr:graphicFrame macro="">
      <xdr:nvGraphicFramePr>
        <xdr:cNvPr id="7" name="Chart 6">
          <a:extLst>
            <a:ext uri="{FF2B5EF4-FFF2-40B4-BE49-F238E27FC236}">
              <a16:creationId xmlns:a16="http://schemas.microsoft.com/office/drawing/2014/main" id="{AA2CDD8C-7EB1-8B9A-3F63-037555309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2645</xdr:colOff>
      <xdr:row>24</xdr:row>
      <xdr:rowOff>0</xdr:rowOff>
    </xdr:from>
    <xdr:to>
      <xdr:col>8</xdr:col>
      <xdr:colOff>908403</xdr:colOff>
      <xdr:row>35</xdr:row>
      <xdr:rowOff>105834</xdr:rowOff>
    </xdr:to>
    <xdr:graphicFrame macro="">
      <xdr:nvGraphicFramePr>
        <xdr:cNvPr id="8" name="Chart 7">
          <a:extLst>
            <a:ext uri="{FF2B5EF4-FFF2-40B4-BE49-F238E27FC236}">
              <a16:creationId xmlns:a16="http://schemas.microsoft.com/office/drawing/2014/main" id="{DFAD6A92-A29E-32FE-76C2-B052DF41A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593902</xdr:colOff>
      <xdr:row>9</xdr:row>
      <xdr:rowOff>62442</xdr:rowOff>
    </xdr:to>
    <xdr:graphicFrame macro="">
      <xdr:nvGraphicFramePr>
        <xdr:cNvPr id="2" name="Chart 1">
          <a:extLst>
            <a:ext uri="{FF2B5EF4-FFF2-40B4-BE49-F238E27FC236}">
              <a16:creationId xmlns:a16="http://schemas.microsoft.com/office/drawing/2014/main" id="{06AF972A-A097-4743-A650-495226C3D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0</xdr:row>
      <xdr:rowOff>0</xdr:rowOff>
    </xdr:from>
    <xdr:to>
      <xdr:col>10</xdr:col>
      <xdr:colOff>156456</xdr:colOff>
      <xdr:row>9</xdr:row>
      <xdr:rowOff>69850</xdr:rowOff>
    </xdr:to>
    <xdr:graphicFrame macro="">
      <xdr:nvGraphicFramePr>
        <xdr:cNvPr id="3" name="Chart 2">
          <a:extLst>
            <a:ext uri="{FF2B5EF4-FFF2-40B4-BE49-F238E27FC236}">
              <a16:creationId xmlns:a16="http://schemas.microsoft.com/office/drawing/2014/main" id="{69B71AA8-5A24-489C-9BC7-CEC5B373F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412750</xdr:colOff>
      <xdr:row>0</xdr:row>
      <xdr:rowOff>57150</xdr:rowOff>
    </xdr:from>
    <xdr:to>
      <xdr:col>17</xdr:col>
      <xdr:colOff>184854</xdr:colOff>
      <xdr:row>9</xdr:row>
      <xdr:rowOff>66675</xdr:rowOff>
    </xdr:to>
    <xdr:graphicFrame macro="">
      <xdr:nvGraphicFramePr>
        <xdr:cNvPr id="4" name="Chart 3">
          <a:extLst>
            <a:ext uri="{FF2B5EF4-FFF2-40B4-BE49-F238E27FC236}">
              <a16:creationId xmlns:a16="http://schemas.microsoft.com/office/drawing/2014/main" id="{6034647E-B913-460B-9671-9BD385009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0</xdr:rowOff>
    </xdr:from>
    <xdr:to>
      <xdr:col>3</xdr:col>
      <xdr:colOff>584200</xdr:colOff>
      <xdr:row>19</xdr:row>
      <xdr:rowOff>146050</xdr:rowOff>
    </xdr:to>
    <xdr:graphicFrame macro="">
      <xdr:nvGraphicFramePr>
        <xdr:cNvPr id="5" name="Chart 4">
          <a:extLst>
            <a:ext uri="{FF2B5EF4-FFF2-40B4-BE49-F238E27FC236}">
              <a16:creationId xmlns:a16="http://schemas.microsoft.com/office/drawing/2014/main" id="{B2DAF2C9-1C62-4242-845E-67B628464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203200</xdr:colOff>
      <xdr:row>10</xdr:row>
      <xdr:rowOff>1</xdr:rowOff>
    </xdr:from>
    <xdr:to>
      <xdr:col>10</xdr:col>
      <xdr:colOff>152751</xdr:colOff>
      <xdr:row>19</xdr:row>
      <xdr:rowOff>133351</xdr:rowOff>
    </xdr:to>
    <xdr:graphicFrame macro="">
      <xdr:nvGraphicFramePr>
        <xdr:cNvPr id="6" name="Chart 5">
          <a:extLst>
            <a:ext uri="{FF2B5EF4-FFF2-40B4-BE49-F238E27FC236}">
              <a16:creationId xmlns:a16="http://schemas.microsoft.com/office/drawing/2014/main" id="{F2296E5D-408D-4396-8335-3057B8561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406400</xdr:colOff>
      <xdr:row>10</xdr:row>
      <xdr:rowOff>0</xdr:rowOff>
    </xdr:from>
    <xdr:to>
      <xdr:col>14</xdr:col>
      <xdr:colOff>487716</xdr:colOff>
      <xdr:row>19</xdr:row>
      <xdr:rowOff>146050</xdr:rowOff>
    </xdr:to>
    <xdr:graphicFrame macro="">
      <xdr:nvGraphicFramePr>
        <xdr:cNvPr id="7" name="Chart 6">
          <a:extLst>
            <a:ext uri="{FF2B5EF4-FFF2-40B4-BE49-F238E27FC236}">
              <a16:creationId xmlns:a16="http://schemas.microsoft.com/office/drawing/2014/main" id="{DF56C03D-563A-4661-9997-50A344B7A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558800</xdr:colOff>
      <xdr:row>14</xdr:row>
      <xdr:rowOff>82550</xdr:rowOff>
    </xdr:from>
    <xdr:to>
      <xdr:col>17</xdr:col>
      <xdr:colOff>133350</xdr:colOff>
      <xdr:row>19</xdr:row>
      <xdr:rowOff>146050</xdr:rowOff>
    </xdr:to>
    <mc:AlternateContent xmlns:mc="http://schemas.openxmlformats.org/markup-compatibility/2006" xmlns:a14="http://schemas.microsoft.com/office/drawing/2010/main">
      <mc:Choice Requires="a14">
        <xdr:graphicFrame macro="">
          <xdr:nvGraphicFramePr>
            <xdr:cNvPr id="8" name="What's your primary network provider">
              <a:extLst>
                <a:ext uri="{FF2B5EF4-FFF2-40B4-BE49-F238E27FC236}">
                  <a16:creationId xmlns:a16="http://schemas.microsoft.com/office/drawing/2014/main" id="{5D5ACA47-DB57-CD92-437E-3E10D3E034D7}"/>
                </a:ext>
              </a:extLst>
            </xdr:cNvPr>
            <xdr:cNvGraphicFramePr/>
          </xdr:nvGraphicFramePr>
          <xdr:xfrm>
            <a:off x="0" y="0"/>
            <a:ext cx="0" cy="0"/>
          </xdr:xfrm>
          <a:graphic>
            <a:graphicData uri="http://schemas.microsoft.com/office/drawing/2010/slicer">
              <sle:slicer xmlns:sle="http://schemas.microsoft.com/office/drawing/2010/slicer" name="What's your primary network provider"/>
            </a:graphicData>
          </a:graphic>
        </xdr:graphicFrame>
      </mc:Choice>
      <mc:Fallback xmlns="">
        <xdr:sp macro="" textlink="">
          <xdr:nvSpPr>
            <xdr:cNvPr id="0" name=""/>
            <xdr:cNvSpPr>
              <a:spLocks noTextEdit="1"/>
            </xdr:cNvSpPr>
          </xdr:nvSpPr>
          <xdr:spPr>
            <a:xfrm>
              <a:off x="9093200" y="2660650"/>
              <a:ext cx="1403350"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558800</xdr:colOff>
      <xdr:row>9</xdr:row>
      <xdr:rowOff>69850</xdr:rowOff>
    </xdr:from>
    <xdr:to>
      <xdr:col>17</xdr:col>
      <xdr:colOff>139700</xdr:colOff>
      <xdr:row>14</xdr:row>
      <xdr:rowOff>76200</xdr:rowOff>
    </xdr:to>
    <mc:AlternateContent xmlns:mc="http://schemas.openxmlformats.org/markup-compatibility/2006" xmlns:a14="http://schemas.microsoft.com/office/drawing/2010/main">
      <mc:Choice Requires="a14">
        <xdr:graphicFrame macro="">
          <xdr:nvGraphicFramePr>
            <xdr:cNvPr id="9" name="How often do you experience network issues?">
              <a:extLst>
                <a:ext uri="{FF2B5EF4-FFF2-40B4-BE49-F238E27FC236}">
                  <a16:creationId xmlns:a16="http://schemas.microsoft.com/office/drawing/2014/main" id="{E0006B93-B3D3-8D8D-BB36-9ACFDD9B8A28}"/>
                </a:ext>
              </a:extLst>
            </xdr:cNvPr>
            <xdr:cNvGraphicFramePr/>
          </xdr:nvGraphicFramePr>
          <xdr:xfrm>
            <a:off x="0" y="0"/>
            <a:ext cx="0" cy="0"/>
          </xdr:xfrm>
          <a:graphic>
            <a:graphicData uri="http://schemas.microsoft.com/office/drawing/2010/slicer">
              <sle:slicer xmlns:sle="http://schemas.microsoft.com/office/drawing/2010/slicer" name="How often do you experience network issues?"/>
            </a:graphicData>
          </a:graphic>
        </xdr:graphicFrame>
      </mc:Choice>
      <mc:Fallback xmlns="">
        <xdr:sp macro="" textlink="">
          <xdr:nvSpPr>
            <xdr:cNvPr id="0" name=""/>
            <xdr:cNvSpPr>
              <a:spLocks noTextEdit="1"/>
            </xdr:cNvSpPr>
          </xdr:nvSpPr>
          <xdr:spPr>
            <a:xfrm>
              <a:off x="9093200" y="1727200"/>
              <a:ext cx="1409700"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20</xdr:row>
      <xdr:rowOff>127000</xdr:rowOff>
    </xdr:from>
    <xdr:to>
      <xdr:col>11</xdr:col>
      <xdr:colOff>374650</xdr:colOff>
      <xdr:row>34</xdr:row>
      <xdr:rowOff>114300</xdr:rowOff>
    </xdr:to>
    <xdr:sp macro="" textlink="">
      <xdr:nvSpPr>
        <xdr:cNvPr id="10" name="TextBox 9">
          <a:extLst>
            <a:ext uri="{FF2B5EF4-FFF2-40B4-BE49-F238E27FC236}">
              <a16:creationId xmlns:a16="http://schemas.microsoft.com/office/drawing/2014/main" id="{59EBA4A8-6F79-1D68-A665-7D262D241146}"/>
            </a:ext>
          </a:extLst>
        </xdr:cNvPr>
        <xdr:cNvSpPr txBox="1"/>
      </xdr:nvSpPr>
      <xdr:spPr>
        <a:xfrm>
          <a:off x="38100" y="3810000"/>
          <a:ext cx="7042150" cy="256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1 The "Reliability" Paradox: While Airtel has the highest number of primary users in this sample (50%), MTN is perceived as the more reliable network in specific local areas. This suggests Airtel users are choosing the brand for reasons other than pure stability (likely price or coverage).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​2 High-Value Churn Risk: A significant portion of users spending in the highest tier (N16,000 - N25,000) reported they are "Likely" to switch allegiances. Losing these high-spending "whales" is a major revenue risk.</a:t>
          </a:r>
        </a:p>
        <a:p>
          <a:r>
            <a:rPr lang="en-US" sz="1100">
              <a:solidFill>
                <a:schemeClr val="dk1"/>
              </a:solidFill>
              <a:effectLst/>
              <a:latin typeface="+mn-lt"/>
              <a:ea typeface="+mn-ea"/>
              <a:cs typeface="+mn-cs"/>
            </a:rPr>
            <a:t>​The "Always" Frustration: Over 60% of the surveyed group selected "Always" for network issues. This correlates with the "In Consideration" loyalty status, proving that technical failure is the primary driver for customer churn.</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3 ​Opportunity Cost: The average user is spending roughly N13,000 monthly. The dashboard shows that if this "frustrated" group diverted that spend into a 10% yield investment, they would accumulate over N340,000 in just two years.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4 ​Network Sentiment: There is a "grass is greener" effect where users on both sides believe the "other" network (Red or Yellow) might be more reliable, indicating general dissatisfaction across the local infrastructure.</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27178009257" createdVersion="5" refreshedVersion="8" minRefreshableVersion="3" recordCount="0" supportSubquery="1" supportAdvancedDrill="1" xr:uid="{9055DE98-E781-4FD2-ABD9-442574754FAA}">
  <cacheSource type="external" connectionId="1"/>
  <cacheFields count="2">
    <cacheField name="[Table1].[What's your primary network provider].[What's your primary network provider]" caption="What's your primary network provider" numFmtId="0" hierarchy="2" level="1">
      <sharedItems count="3">
        <s v="Airtel"/>
        <s v="Mtn"/>
        <s v="Others"/>
      </sharedItems>
    </cacheField>
    <cacheField name="[Measures].[Count of Username]" caption="Count of Username" numFmtId="0" hierarchy="14" level="32767"/>
  </cacheFields>
  <cacheHierarchies count="19">
    <cacheHierarchy uniqueName="[Table1].[Timestamp]" caption="Timestamp" attribute="1" defaultMemberUniqueName="[Table1].[Timestamp].[All]" allUniqueName="[Table1].[Timestamp].[All]" dimensionUniqueName="[Table1]" displayFolder="" count="2" memberValueDatatype="130" unbalanced="0"/>
    <cacheHierarchy uniqueName="[Table1].[Username]" caption="Username" attribute="1" defaultMemberUniqueName="[Table1].[Username].[All]" allUniqueName="[Table1].[Username].[All]" dimensionUniqueName="[Table1]" displayFolder="" count="2" memberValueDatatype="130" unbalanced="0"/>
    <cacheHierarchy uniqueName="[Table1].[What's your primary network provider]" caption="What's your primary network provider" attribute="1" defaultMemberUniqueName="[Table1].[What's your primary network provider].[All]" allUniqueName="[Table1].[What's your primary network provider].[All]" dimensionUniqueName="[Table1]" displayFolder="" count="2" memberValueDatatype="130" unbalanced="0">
      <fieldsUsage count="2">
        <fieldUsage x="-1"/>
        <fieldUsage x="0"/>
      </fieldsUsage>
    </cacheHierarchy>
    <cacheHierarchy uniqueName="[Table1].[How much do you spend on data monthly?]" caption="How much do you spend on data monthly?" attribute="1" defaultMemberUniqueName="[Table1].[How much do you spend on data monthly?].[All]" allUniqueName="[Table1].[How much do you spend on data monthly?].[All]" dimensionUniqueName="[Table1]" displayFolder="" count="2" memberValueDatatype="130" unbalanced="0"/>
    <cacheHierarchy uniqueName="[Table1].[How often do you experience network issues?]" caption="How often do you experience network issues?" attribute="1" defaultMemberUniqueName="[Table1].[How often do you experience network issues?].[All]" allUniqueName="[Table1].[How often do you experience network issues?].[All]" dimensionUniqueName="[Table1]" displayFolder="" count="2" memberValueDatatype="130" unbalanced="0"/>
    <cacheHierarchy uniqueName="[Table1].[What network do you believe is most reliable in your area?]" caption="What network do you believe is most reliable in your area?" attribute="1" defaultMemberUniqueName="[Table1].[What network do you believe is most reliable in your area?].[All]" allUniqueName="[Table1].[What network do you believe is most reliable in your area?].[All]" dimensionUniqueName="[Table1]" displayFolder="" count="2" memberValueDatatype="130" unbalanced="0"/>
    <cacheHierarchy uniqueName="[Table1].[How likely are you to switch allegiances?]" caption="How likely are you to switch allegiances?" attribute="1" defaultMemberUniqueName="[Table1].[How likely are you to switch allegiances?].[All]" allUniqueName="[Table1].[How likely are you to switch allegiances?].[All]" dimensionUniqueName="[Table1]" displayFolder="" count="2" memberValueDatatype="130" unbalanced="0"/>
    <cacheHierarchy uniqueName="[Table1].[Monthly_Spend_Numeric]" caption="Monthly_Spend_Numeric" attribute="1" defaultMemberUniqueName="[Table1].[Monthly_Spend_Numeric].[All]" allUniqueName="[Table1].[Monthly_Spend_Numeric].[All]" dimensionUniqueName="[Table1]" displayFolder="" count="2" memberValueDatatype="20" unbalanced="0"/>
    <cacheHierarchy uniqueName="[Table1].[Future_Value_2yrs_10pct]" caption="Future_Value_2yrs_10pct" attribute="1" defaultMemberUniqueName="[Table1].[Future_Value_2yrs_10pct].[All]" allUniqueName="[Table1].[Future_Value_2yrs_10pct].[All]" dimensionUniqueName="[Table1]" displayFolder="" count="2" memberValueDatatype="5" unbalanced="0"/>
    <cacheHierarchy uniqueName="[Table1].[Present_Value_2yrs_10pct]" caption="Present_Value_2yrs_10pct" attribute="1" defaultMemberUniqueName="[Table1].[Present_Value_2yrs_10pct].[All]" allUniqueName="[Table1].[Present_Value_2yrs_10pct].[All]" dimensionUniqueName="[Table1]" displayFolder="" count="2" memberValueDatatype="5" unbalanced="0"/>
    <cacheHierarchy uniqueName="[Table1].[Monthly_Savings_for_1M_Goal]" caption="Monthly_Savings_for_1M_Goal" attribute="1" defaultMemberUniqueName="[Table1].[Monthly_Savings_for_1M_Goal].[All]" allUniqueName="[Table1].[Monthly_Savings_for_1M_Goal].[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What's your primary network provider]" caption="Count of What's your primary network provider" measure="1" displayFolder="" measureGroup="Table1" count="0" hidden="1">
      <extLst>
        <ext xmlns:x15="http://schemas.microsoft.com/office/spreadsheetml/2010/11/main" uri="{B97F6D7D-B522-45F9-BDA1-12C45D357490}">
          <x15:cacheHierarchy aggregatedColumn="2"/>
        </ext>
      </extLst>
    </cacheHierarchy>
    <cacheHierarchy uniqueName="[Measures].[Count of Username]" caption="Count of User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Monthly_Spend_Numeric]" caption="Sum of Monthly_Spend_Numeric" measure="1" displayFolder="" measureGroup="Table1" count="0" hidden="1">
      <extLst>
        <ext xmlns:x15="http://schemas.microsoft.com/office/spreadsheetml/2010/11/main" uri="{B97F6D7D-B522-45F9-BDA1-12C45D357490}">
          <x15:cacheHierarchy aggregatedColumn="7"/>
        </ext>
      </extLst>
    </cacheHierarchy>
    <cacheHierarchy uniqueName="[Measures].[Sum of Future_Value_2yrs_10pct]" caption="Sum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Future_Value_2yrs_10pct]" caption="Average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pend_Numeric]" caption="Average of Monthly_Spend_Numeric"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27178587965" createdVersion="5" refreshedVersion="8" minRefreshableVersion="3" recordCount="0" supportSubquery="1" supportAdvancedDrill="1" xr:uid="{DD8EEAAC-97F9-4AF0-95A8-4A1BCE3F080E}">
  <cacheSource type="external" connectionId="1"/>
  <cacheFields count="2">
    <cacheField name="[Table1].[What's your primary network provider].[What's your primary network provider]" caption="What's your primary network provider" numFmtId="0" hierarchy="2" level="1">
      <sharedItems count="3">
        <s v="Airtel"/>
        <s v="Mtn"/>
        <s v="Others"/>
      </sharedItems>
    </cacheField>
    <cacheField name="[Measures].[Average of Monthly_Spend_Numeric]" caption="Average of Monthly_Spend_Numeric" numFmtId="0" hierarchy="18" level="32767"/>
  </cacheFields>
  <cacheHierarchies count="19">
    <cacheHierarchy uniqueName="[Table1].[Timestamp]" caption="Timestamp" attribute="1" defaultMemberUniqueName="[Table1].[Timestamp].[All]" allUniqueName="[Table1].[Timestamp].[All]" dimensionUniqueName="[Table1]" displayFolder="" count="0" memberValueDatatype="130" unbalanced="0"/>
    <cacheHierarchy uniqueName="[Table1].[Username]" caption="Username" attribute="1" defaultMemberUniqueName="[Table1].[Username].[All]" allUniqueName="[Table1].[Username].[All]" dimensionUniqueName="[Table1]" displayFolder="" count="0" memberValueDatatype="130" unbalanced="0"/>
    <cacheHierarchy uniqueName="[Table1].[What's your primary network provider]" caption="What's your primary network provider" attribute="1" defaultMemberUniqueName="[Table1].[What's your primary network provider].[All]" allUniqueName="[Table1].[What's your primary network provider].[All]" dimensionUniqueName="[Table1]" displayFolder="" count="2" memberValueDatatype="130" unbalanced="0">
      <fieldsUsage count="2">
        <fieldUsage x="-1"/>
        <fieldUsage x="0"/>
      </fieldsUsage>
    </cacheHierarchy>
    <cacheHierarchy uniqueName="[Table1].[How much do you spend on data monthly?]" caption="How much do you spend on data monthly?" attribute="1" defaultMemberUniqueName="[Table1].[How much do you spend on data monthly?].[All]" allUniqueName="[Table1].[How much do you spend on data monthly?].[All]" dimensionUniqueName="[Table1]" displayFolder="" count="0" memberValueDatatype="130" unbalanced="0"/>
    <cacheHierarchy uniqueName="[Table1].[How often do you experience network issues?]" caption="How often do you experience network issues?" attribute="1" defaultMemberUniqueName="[Table1].[How often do you experience network issues?].[All]" allUniqueName="[Table1].[How often do you experience network issues?].[All]" dimensionUniqueName="[Table1]" displayFolder="" count="2" memberValueDatatype="130" unbalanced="0"/>
    <cacheHierarchy uniqueName="[Table1].[What network do you believe is most reliable in your area?]" caption="What network do you believe is most reliable in your area?" attribute="1" defaultMemberUniqueName="[Table1].[What network do you believe is most reliable in your area?].[All]" allUniqueName="[Table1].[What network do you believe is most reliable in your area?].[All]" dimensionUniqueName="[Table1]" displayFolder="" count="0" memberValueDatatype="130" unbalanced="0"/>
    <cacheHierarchy uniqueName="[Table1].[How likely are you to switch allegiances?]" caption="How likely are you to switch allegiances?" attribute="1" defaultMemberUniqueName="[Table1].[How likely are you to switch allegiances?].[All]" allUniqueName="[Table1].[How likely are you to switch allegiances?].[All]" dimensionUniqueName="[Table1]" displayFolder="" count="0" memberValueDatatype="130" unbalanced="0"/>
    <cacheHierarchy uniqueName="[Table1].[Monthly_Spend_Numeric]" caption="Monthly_Spend_Numeric" attribute="1" defaultMemberUniqueName="[Table1].[Monthly_Spend_Numeric].[All]" allUniqueName="[Table1].[Monthly_Spend_Numeric].[All]" dimensionUniqueName="[Table1]" displayFolder="" count="0" memberValueDatatype="20" unbalanced="0"/>
    <cacheHierarchy uniqueName="[Table1].[Future_Value_2yrs_10pct]" caption="Future_Value_2yrs_10pct" attribute="1" defaultMemberUniqueName="[Table1].[Future_Value_2yrs_10pct].[All]" allUniqueName="[Table1].[Future_Value_2yrs_10pct].[All]" dimensionUniqueName="[Table1]" displayFolder="" count="0" memberValueDatatype="5" unbalanced="0"/>
    <cacheHierarchy uniqueName="[Table1].[Present_Value_2yrs_10pct]" caption="Present_Value_2yrs_10pct" attribute="1" defaultMemberUniqueName="[Table1].[Present_Value_2yrs_10pct].[All]" allUniqueName="[Table1].[Present_Value_2yrs_10pct].[All]" dimensionUniqueName="[Table1]" displayFolder="" count="0" memberValueDatatype="5" unbalanced="0"/>
    <cacheHierarchy uniqueName="[Table1].[Monthly_Savings_for_1M_Goal]" caption="Monthly_Savings_for_1M_Goal" attribute="1" defaultMemberUniqueName="[Table1].[Monthly_Savings_for_1M_Goal].[All]" allUniqueName="[Table1].[Monthly_Savings_for_1M_Goal].[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What's your primary network provider]" caption="Count of What's your primary network provider" measure="1" displayFolder="" measureGroup="Table1" count="0" hidden="1">
      <extLst>
        <ext xmlns:x15="http://schemas.microsoft.com/office/spreadsheetml/2010/11/main" uri="{B97F6D7D-B522-45F9-BDA1-12C45D357490}">
          <x15:cacheHierarchy aggregatedColumn="2"/>
        </ext>
      </extLst>
    </cacheHierarchy>
    <cacheHierarchy uniqueName="[Measures].[Count of Username]" caption="Count of Username" measure="1" displayFolder="" measureGroup="Table1" count="0" hidden="1">
      <extLst>
        <ext xmlns:x15="http://schemas.microsoft.com/office/spreadsheetml/2010/11/main" uri="{B97F6D7D-B522-45F9-BDA1-12C45D357490}">
          <x15:cacheHierarchy aggregatedColumn="1"/>
        </ext>
      </extLst>
    </cacheHierarchy>
    <cacheHierarchy uniqueName="[Measures].[Sum of Monthly_Spend_Numeric]" caption="Sum of Monthly_Spend_Numeric" measure="1" displayFolder="" measureGroup="Table1" count="0" hidden="1">
      <extLst>
        <ext xmlns:x15="http://schemas.microsoft.com/office/spreadsheetml/2010/11/main" uri="{B97F6D7D-B522-45F9-BDA1-12C45D357490}">
          <x15:cacheHierarchy aggregatedColumn="7"/>
        </ext>
      </extLst>
    </cacheHierarchy>
    <cacheHierarchy uniqueName="[Measures].[Sum of Future_Value_2yrs_10pct]" caption="Sum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Future_Value_2yrs_10pct]" caption="Average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pend_Numeric]" caption="Average of Monthly_Spend_Numeric"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27179166666" createdVersion="5" refreshedVersion="8" minRefreshableVersion="3" recordCount="0" supportSubquery="1" supportAdvancedDrill="1" xr:uid="{4D31C7B4-9F87-482A-B94D-A24F40B49D87}">
  <cacheSource type="external" connectionId="1"/>
  <cacheFields count="3">
    <cacheField name="[Measures].[Count of Username]" caption="Count of Username" numFmtId="0" hierarchy="14" level="32767"/>
    <cacheField name="[Table1].[What network do you believe is most reliable in your area?].[What network do you believe is most reliable in your area?]" caption="What network do you believe is most reliable in your area?" numFmtId="0" hierarchy="5" level="1">
      <sharedItems count="3">
        <s v="Airtel"/>
        <s v="Mtn"/>
        <s v="Other"/>
      </sharedItems>
    </cacheField>
    <cacheField name="[Table1].[What's your primary network provider].[What's your primary network provider]" caption="What's your primary network provider" numFmtId="0" hierarchy="2" level="1">
      <sharedItems containsSemiMixedTypes="0" containsNonDate="0" containsString="0"/>
    </cacheField>
  </cacheFields>
  <cacheHierarchies count="19">
    <cacheHierarchy uniqueName="[Table1].[Timestamp]" caption="Timestamp" attribute="1" defaultMemberUniqueName="[Table1].[Timestamp].[All]" allUniqueName="[Table1].[Timestamp].[All]" dimensionUniqueName="[Table1]" displayFolder="" count="0" memberValueDatatype="130" unbalanced="0"/>
    <cacheHierarchy uniqueName="[Table1].[Username]" caption="Username" attribute="1" defaultMemberUniqueName="[Table1].[Username].[All]" allUniqueName="[Table1].[Username].[All]" dimensionUniqueName="[Table1]" displayFolder="" count="0" memberValueDatatype="130" unbalanced="0"/>
    <cacheHierarchy uniqueName="[Table1].[What's your primary network provider]" caption="What's your primary network provider" attribute="1" defaultMemberUniqueName="[Table1].[What's your primary network provider].[All]" allUniqueName="[Table1].[What's your primary network provider].[All]" dimensionUniqueName="[Table1]" displayFolder="" count="2" memberValueDatatype="130" unbalanced="0">
      <fieldsUsage count="2">
        <fieldUsage x="-1"/>
        <fieldUsage x="2"/>
      </fieldsUsage>
    </cacheHierarchy>
    <cacheHierarchy uniqueName="[Table1].[How much do you spend on data monthly?]" caption="How much do you spend on data monthly?" attribute="1" defaultMemberUniqueName="[Table1].[How much do you spend on data monthly?].[All]" allUniqueName="[Table1].[How much do you spend on data monthly?].[All]" dimensionUniqueName="[Table1]" displayFolder="" count="0" memberValueDatatype="130" unbalanced="0"/>
    <cacheHierarchy uniqueName="[Table1].[How often do you experience network issues?]" caption="How often do you experience network issues?" attribute="1" defaultMemberUniqueName="[Table1].[How often do you experience network issues?].[All]" allUniqueName="[Table1].[How often do you experience network issues?].[All]" dimensionUniqueName="[Table1]" displayFolder="" count="2" memberValueDatatype="130" unbalanced="0"/>
    <cacheHierarchy uniqueName="[Table1].[What network do you believe is most reliable in your area?]" caption="What network do you believe is most reliable in your area?" attribute="1" defaultMemberUniqueName="[Table1].[What network do you believe is most reliable in your area?].[All]" allUniqueName="[Table1].[What network do you believe is most reliable in your area?].[All]" dimensionUniqueName="[Table1]" displayFolder="" count="2" memberValueDatatype="130" unbalanced="0">
      <fieldsUsage count="2">
        <fieldUsage x="-1"/>
        <fieldUsage x="1"/>
      </fieldsUsage>
    </cacheHierarchy>
    <cacheHierarchy uniqueName="[Table1].[How likely are you to switch allegiances?]" caption="How likely are you to switch allegiances?" attribute="1" defaultMemberUniqueName="[Table1].[How likely are you to switch allegiances?].[All]" allUniqueName="[Table1].[How likely are you to switch allegiances?].[All]" dimensionUniqueName="[Table1]" displayFolder="" count="0" memberValueDatatype="130" unbalanced="0"/>
    <cacheHierarchy uniqueName="[Table1].[Monthly_Spend_Numeric]" caption="Monthly_Spend_Numeric" attribute="1" defaultMemberUniqueName="[Table1].[Monthly_Spend_Numeric].[All]" allUniqueName="[Table1].[Monthly_Spend_Numeric].[All]" dimensionUniqueName="[Table1]" displayFolder="" count="0" memberValueDatatype="20" unbalanced="0"/>
    <cacheHierarchy uniqueName="[Table1].[Future_Value_2yrs_10pct]" caption="Future_Value_2yrs_10pct" attribute="1" defaultMemberUniqueName="[Table1].[Future_Value_2yrs_10pct].[All]" allUniqueName="[Table1].[Future_Value_2yrs_10pct].[All]" dimensionUniqueName="[Table1]" displayFolder="" count="0" memberValueDatatype="5" unbalanced="0"/>
    <cacheHierarchy uniqueName="[Table1].[Present_Value_2yrs_10pct]" caption="Present_Value_2yrs_10pct" attribute="1" defaultMemberUniqueName="[Table1].[Present_Value_2yrs_10pct].[All]" allUniqueName="[Table1].[Present_Value_2yrs_10pct].[All]" dimensionUniqueName="[Table1]" displayFolder="" count="0" memberValueDatatype="5" unbalanced="0"/>
    <cacheHierarchy uniqueName="[Table1].[Monthly_Savings_for_1M_Goal]" caption="Monthly_Savings_for_1M_Goal" attribute="1" defaultMemberUniqueName="[Table1].[Monthly_Savings_for_1M_Goal].[All]" allUniqueName="[Table1].[Monthly_Savings_for_1M_Goal].[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What's your primary network provider]" caption="Count of What's your primary network provider" measure="1" displayFolder="" measureGroup="Table1" count="0" hidden="1">
      <extLst>
        <ext xmlns:x15="http://schemas.microsoft.com/office/spreadsheetml/2010/11/main" uri="{B97F6D7D-B522-45F9-BDA1-12C45D357490}">
          <x15:cacheHierarchy aggregatedColumn="2"/>
        </ext>
      </extLst>
    </cacheHierarchy>
    <cacheHierarchy uniqueName="[Measures].[Count of Username]" caption="Count of User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Monthly_Spend_Numeric]" caption="Sum of Monthly_Spend_Numeric" measure="1" displayFolder="" measureGroup="Table1" count="0" hidden="1">
      <extLst>
        <ext xmlns:x15="http://schemas.microsoft.com/office/spreadsheetml/2010/11/main" uri="{B97F6D7D-B522-45F9-BDA1-12C45D357490}">
          <x15:cacheHierarchy aggregatedColumn="7"/>
        </ext>
      </extLst>
    </cacheHierarchy>
    <cacheHierarchy uniqueName="[Measures].[Sum of Future_Value_2yrs_10pct]" caption="Sum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Future_Value_2yrs_10pct]" caption="Average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pend_Numeric]" caption="Average of Monthly_Spend_Numeric"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27179745374" createdVersion="5" refreshedVersion="8" minRefreshableVersion="3" recordCount="0" supportSubquery="1" supportAdvancedDrill="1" xr:uid="{CFE3E1FB-D6FA-4B02-A5D8-4D84597FE541}">
  <cacheSource type="external" connectionId="1"/>
  <cacheFields count="3">
    <cacheField name="[Measures].[Count of Username]" caption="Count of Username" numFmtId="0" hierarchy="14" level="32767"/>
    <cacheField name="[Table1].[How likely are you to switch allegiances?].[How likely are you to switch allegiances?]" caption="How likely are you to switch allegiances?" numFmtId="0" hierarchy="6" level="1">
      <sharedItems count="3">
        <s v="In Consideration"/>
        <s v="Likely"/>
        <s v="Not Likely"/>
      </sharedItems>
    </cacheField>
    <cacheField name="[Table1].[What's your primary network provider].[What's your primary network provider]" caption="What's your primary network provider" numFmtId="0" hierarchy="2" level="1">
      <sharedItems containsSemiMixedTypes="0" containsNonDate="0" containsString="0"/>
    </cacheField>
  </cacheFields>
  <cacheHierarchies count="19">
    <cacheHierarchy uniqueName="[Table1].[Timestamp]" caption="Timestamp" attribute="1" defaultMemberUniqueName="[Table1].[Timestamp].[All]" allUniqueName="[Table1].[Timestamp].[All]" dimensionUniqueName="[Table1]" displayFolder="" count="0" memberValueDatatype="130" unbalanced="0"/>
    <cacheHierarchy uniqueName="[Table1].[Username]" caption="Username" attribute="1" defaultMemberUniqueName="[Table1].[Username].[All]" allUniqueName="[Table1].[Username].[All]" dimensionUniqueName="[Table1]" displayFolder="" count="0" memberValueDatatype="130" unbalanced="0"/>
    <cacheHierarchy uniqueName="[Table1].[What's your primary network provider]" caption="What's your primary network provider" attribute="1" defaultMemberUniqueName="[Table1].[What's your primary network provider].[All]" allUniqueName="[Table1].[What's your primary network provider].[All]" dimensionUniqueName="[Table1]" displayFolder="" count="2" memberValueDatatype="130" unbalanced="0">
      <fieldsUsage count="2">
        <fieldUsage x="-1"/>
        <fieldUsage x="2"/>
      </fieldsUsage>
    </cacheHierarchy>
    <cacheHierarchy uniqueName="[Table1].[How much do you spend on data monthly?]" caption="How much do you spend on data monthly?" attribute="1" defaultMemberUniqueName="[Table1].[How much do you spend on data monthly?].[All]" allUniqueName="[Table1].[How much do you spend on data monthly?].[All]" dimensionUniqueName="[Table1]" displayFolder="" count="0" memberValueDatatype="130" unbalanced="0"/>
    <cacheHierarchy uniqueName="[Table1].[How often do you experience network issues?]" caption="How often do you experience network issues?" attribute="1" defaultMemberUniqueName="[Table1].[How often do you experience network issues?].[All]" allUniqueName="[Table1].[How often do you experience network issues?].[All]" dimensionUniqueName="[Table1]" displayFolder="" count="2" memberValueDatatype="130" unbalanced="0"/>
    <cacheHierarchy uniqueName="[Table1].[What network do you believe is most reliable in your area?]" caption="What network do you believe is most reliable in your area?" attribute="1" defaultMemberUniqueName="[Table1].[What network do you believe is most reliable in your area?].[All]" allUniqueName="[Table1].[What network do you believe is most reliable in your area?].[All]" dimensionUniqueName="[Table1]" displayFolder="" count="0" memberValueDatatype="130" unbalanced="0"/>
    <cacheHierarchy uniqueName="[Table1].[How likely are you to switch allegiances?]" caption="How likely are you to switch allegiances?" attribute="1" defaultMemberUniqueName="[Table1].[How likely are you to switch allegiances?].[All]" allUniqueName="[Table1].[How likely are you to switch allegiances?].[All]" dimensionUniqueName="[Table1]" displayFolder="" count="2" memberValueDatatype="130" unbalanced="0">
      <fieldsUsage count="2">
        <fieldUsage x="-1"/>
        <fieldUsage x="1"/>
      </fieldsUsage>
    </cacheHierarchy>
    <cacheHierarchy uniqueName="[Table1].[Monthly_Spend_Numeric]" caption="Monthly_Spend_Numeric" attribute="1" defaultMemberUniqueName="[Table1].[Monthly_Spend_Numeric].[All]" allUniqueName="[Table1].[Monthly_Spend_Numeric].[All]" dimensionUniqueName="[Table1]" displayFolder="" count="0" memberValueDatatype="20" unbalanced="0"/>
    <cacheHierarchy uniqueName="[Table1].[Future_Value_2yrs_10pct]" caption="Future_Value_2yrs_10pct" attribute="1" defaultMemberUniqueName="[Table1].[Future_Value_2yrs_10pct].[All]" allUniqueName="[Table1].[Future_Value_2yrs_10pct].[All]" dimensionUniqueName="[Table1]" displayFolder="" count="0" memberValueDatatype="5" unbalanced="0"/>
    <cacheHierarchy uniqueName="[Table1].[Present_Value_2yrs_10pct]" caption="Present_Value_2yrs_10pct" attribute="1" defaultMemberUniqueName="[Table1].[Present_Value_2yrs_10pct].[All]" allUniqueName="[Table1].[Present_Value_2yrs_10pct].[All]" dimensionUniqueName="[Table1]" displayFolder="" count="0" memberValueDatatype="5" unbalanced="0"/>
    <cacheHierarchy uniqueName="[Table1].[Monthly_Savings_for_1M_Goal]" caption="Monthly_Savings_for_1M_Goal" attribute="1" defaultMemberUniqueName="[Table1].[Monthly_Savings_for_1M_Goal].[All]" allUniqueName="[Table1].[Monthly_Savings_for_1M_Goal].[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What's your primary network provider]" caption="Count of What's your primary network provider" measure="1" displayFolder="" measureGroup="Table1" count="0" hidden="1">
      <extLst>
        <ext xmlns:x15="http://schemas.microsoft.com/office/spreadsheetml/2010/11/main" uri="{B97F6D7D-B522-45F9-BDA1-12C45D357490}">
          <x15:cacheHierarchy aggregatedColumn="2"/>
        </ext>
      </extLst>
    </cacheHierarchy>
    <cacheHierarchy uniqueName="[Measures].[Count of Username]" caption="Count of User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Monthly_Spend_Numeric]" caption="Sum of Monthly_Spend_Numeric" measure="1" displayFolder="" measureGroup="Table1" count="0" hidden="1">
      <extLst>
        <ext xmlns:x15="http://schemas.microsoft.com/office/spreadsheetml/2010/11/main" uri="{B97F6D7D-B522-45F9-BDA1-12C45D357490}">
          <x15:cacheHierarchy aggregatedColumn="7"/>
        </ext>
      </extLst>
    </cacheHierarchy>
    <cacheHierarchy uniqueName="[Measures].[Sum of Future_Value_2yrs_10pct]" caption="Sum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Future_Value_2yrs_10pct]" caption="Average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pend_Numeric]" caption="Average of Monthly_Spend_Numeric"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27180324074" createdVersion="5" refreshedVersion="8" minRefreshableVersion="3" recordCount="0" supportSubquery="1" supportAdvancedDrill="1" xr:uid="{653334F8-9F2E-4A35-991A-373A9600AB8E}">
  <cacheSource type="external" connectionId="1"/>
  <cacheFields count="2">
    <cacheField name="[Table1].[What's your primary network provider].[What's your primary network provider]" caption="What's your primary network provider" numFmtId="0" hierarchy="2" level="1">
      <sharedItems count="3">
        <s v="Airtel"/>
        <s v="Mtn"/>
        <s v="Others"/>
      </sharedItems>
    </cacheField>
    <cacheField name="[Measures].[Average of Future_Value_2yrs_10pct]" caption="Average of Future_Value_2yrs_10pct" numFmtId="0" hierarchy="17" level="32767"/>
  </cacheFields>
  <cacheHierarchies count="19">
    <cacheHierarchy uniqueName="[Table1].[Timestamp]" caption="Timestamp" attribute="1" defaultMemberUniqueName="[Table1].[Timestamp].[All]" allUniqueName="[Table1].[Timestamp].[All]" dimensionUniqueName="[Table1]" displayFolder="" count="0" memberValueDatatype="130" unbalanced="0"/>
    <cacheHierarchy uniqueName="[Table1].[Username]" caption="Username" attribute="1" defaultMemberUniqueName="[Table1].[Username].[All]" allUniqueName="[Table1].[Username].[All]" dimensionUniqueName="[Table1]" displayFolder="" count="0" memberValueDatatype="130" unbalanced="0"/>
    <cacheHierarchy uniqueName="[Table1].[What's your primary network provider]" caption="What's your primary network provider" attribute="1" defaultMemberUniqueName="[Table1].[What's your primary network provider].[All]" allUniqueName="[Table1].[What's your primary network provider].[All]" dimensionUniqueName="[Table1]" displayFolder="" count="2" memberValueDatatype="130" unbalanced="0">
      <fieldsUsage count="2">
        <fieldUsage x="-1"/>
        <fieldUsage x="0"/>
      </fieldsUsage>
    </cacheHierarchy>
    <cacheHierarchy uniqueName="[Table1].[How much do you spend on data monthly?]" caption="How much do you spend on data monthly?" attribute="1" defaultMemberUniqueName="[Table1].[How much do you spend on data monthly?].[All]" allUniqueName="[Table1].[How much do you spend on data monthly?].[All]" dimensionUniqueName="[Table1]" displayFolder="" count="0" memberValueDatatype="130" unbalanced="0"/>
    <cacheHierarchy uniqueName="[Table1].[How often do you experience network issues?]" caption="How often do you experience network issues?" attribute="1" defaultMemberUniqueName="[Table1].[How often do you experience network issues?].[All]" allUniqueName="[Table1].[How often do you experience network issues?].[All]" dimensionUniqueName="[Table1]" displayFolder="" count="2" memberValueDatatype="130" unbalanced="0"/>
    <cacheHierarchy uniqueName="[Table1].[What network do you believe is most reliable in your area?]" caption="What network do you believe is most reliable in your area?" attribute="1" defaultMemberUniqueName="[Table1].[What network do you believe is most reliable in your area?].[All]" allUniqueName="[Table1].[What network do you believe is most reliable in your area?].[All]" dimensionUniqueName="[Table1]" displayFolder="" count="0" memberValueDatatype="130" unbalanced="0"/>
    <cacheHierarchy uniqueName="[Table1].[How likely are you to switch allegiances?]" caption="How likely are you to switch allegiances?" attribute="1" defaultMemberUniqueName="[Table1].[How likely are you to switch allegiances?].[All]" allUniqueName="[Table1].[How likely are you to switch allegiances?].[All]" dimensionUniqueName="[Table1]" displayFolder="" count="0" memberValueDatatype="130" unbalanced="0"/>
    <cacheHierarchy uniqueName="[Table1].[Monthly_Spend_Numeric]" caption="Monthly_Spend_Numeric" attribute="1" defaultMemberUniqueName="[Table1].[Monthly_Spend_Numeric].[All]" allUniqueName="[Table1].[Monthly_Spend_Numeric].[All]" dimensionUniqueName="[Table1]" displayFolder="" count="0" memberValueDatatype="20" unbalanced="0"/>
    <cacheHierarchy uniqueName="[Table1].[Future_Value_2yrs_10pct]" caption="Future_Value_2yrs_10pct" attribute="1" defaultMemberUniqueName="[Table1].[Future_Value_2yrs_10pct].[All]" allUniqueName="[Table1].[Future_Value_2yrs_10pct].[All]" dimensionUniqueName="[Table1]" displayFolder="" count="0" memberValueDatatype="5" unbalanced="0"/>
    <cacheHierarchy uniqueName="[Table1].[Present_Value_2yrs_10pct]" caption="Present_Value_2yrs_10pct" attribute="1" defaultMemberUniqueName="[Table1].[Present_Value_2yrs_10pct].[All]" allUniqueName="[Table1].[Present_Value_2yrs_10pct].[All]" dimensionUniqueName="[Table1]" displayFolder="" count="0" memberValueDatatype="5" unbalanced="0"/>
    <cacheHierarchy uniqueName="[Table1].[Monthly_Savings_for_1M_Goal]" caption="Monthly_Savings_for_1M_Goal" attribute="1" defaultMemberUniqueName="[Table1].[Monthly_Savings_for_1M_Goal].[All]" allUniqueName="[Table1].[Monthly_Savings_for_1M_Goal].[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What's your primary network provider]" caption="Count of What's your primary network provider" measure="1" displayFolder="" measureGroup="Table1" count="0" hidden="1">
      <extLst>
        <ext xmlns:x15="http://schemas.microsoft.com/office/spreadsheetml/2010/11/main" uri="{B97F6D7D-B522-45F9-BDA1-12C45D357490}">
          <x15:cacheHierarchy aggregatedColumn="2"/>
        </ext>
      </extLst>
    </cacheHierarchy>
    <cacheHierarchy uniqueName="[Measures].[Count of Username]" caption="Count of Username" measure="1" displayFolder="" measureGroup="Table1" count="0" hidden="1">
      <extLst>
        <ext xmlns:x15="http://schemas.microsoft.com/office/spreadsheetml/2010/11/main" uri="{B97F6D7D-B522-45F9-BDA1-12C45D357490}">
          <x15:cacheHierarchy aggregatedColumn="1"/>
        </ext>
      </extLst>
    </cacheHierarchy>
    <cacheHierarchy uniqueName="[Measures].[Sum of Monthly_Spend_Numeric]" caption="Sum of Monthly_Spend_Numeric" measure="1" displayFolder="" measureGroup="Table1" count="0" hidden="1">
      <extLst>
        <ext xmlns:x15="http://schemas.microsoft.com/office/spreadsheetml/2010/11/main" uri="{B97F6D7D-B522-45F9-BDA1-12C45D357490}">
          <x15:cacheHierarchy aggregatedColumn="7"/>
        </ext>
      </extLst>
    </cacheHierarchy>
    <cacheHierarchy uniqueName="[Measures].[Sum of Future_Value_2yrs_10pct]" caption="Sum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Future_Value_2yrs_10pct]" caption="Average of Future_Value_2yrs_10pc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Monthly_Spend_Numeric]" caption="Average of Monthly_Spend_Numeric"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27181018521" createdVersion="5" refreshedVersion="8" minRefreshableVersion="3" recordCount="0" supportSubquery="1" supportAdvancedDrill="1" xr:uid="{8A48C21F-BF7F-45B9-8036-96C8681218D6}">
  <cacheSource type="external" connectionId="1"/>
  <cacheFields count="3">
    <cacheField name="[Measures].[Count of Username]" caption="Count of Username" numFmtId="0" hierarchy="14" level="32767"/>
    <cacheField name="[Table1].[How often do you experience network issues?].[How often do you experience network issues?]" caption="How often do you experience network issues?" numFmtId="0" hierarchy="4" level="1">
      <sharedItems count="2">
        <s v="Always馃槫"/>
        <s v="Rarely"/>
      </sharedItems>
    </cacheField>
    <cacheField name="[Table1].[What's your primary network provider].[What's your primary network provider]" caption="What's your primary network provider" numFmtId="0" hierarchy="2" level="1">
      <sharedItems containsSemiMixedTypes="0" containsNonDate="0" containsString="0"/>
    </cacheField>
  </cacheFields>
  <cacheHierarchies count="19">
    <cacheHierarchy uniqueName="[Table1].[Timestamp]" caption="Timestamp" attribute="1" defaultMemberUniqueName="[Table1].[Timestamp].[All]" allUniqueName="[Table1].[Timestamp].[All]" dimensionUniqueName="[Table1]" displayFolder="" count="0" memberValueDatatype="130" unbalanced="0"/>
    <cacheHierarchy uniqueName="[Table1].[Username]" caption="Username" attribute="1" defaultMemberUniqueName="[Table1].[Username].[All]" allUniqueName="[Table1].[Username].[All]" dimensionUniqueName="[Table1]" displayFolder="" count="0" memberValueDatatype="130" unbalanced="0"/>
    <cacheHierarchy uniqueName="[Table1].[What's your primary network provider]" caption="What's your primary network provider" attribute="1" defaultMemberUniqueName="[Table1].[What's your primary network provider].[All]" allUniqueName="[Table1].[What's your primary network provider].[All]" dimensionUniqueName="[Table1]" displayFolder="" count="2" memberValueDatatype="130" unbalanced="0">
      <fieldsUsage count="2">
        <fieldUsage x="-1"/>
        <fieldUsage x="2"/>
      </fieldsUsage>
    </cacheHierarchy>
    <cacheHierarchy uniqueName="[Table1].[How much do you spend on data monthly?]" caption="How much do you spend on data monthly?" attribute="1" defaultMemberUniqueName="[Table1].[How much do you spend on data monthly?].[All]" allUniqueName="[Table1].[How much do you spend on data monthly?].[All]" dimensionUniqueName="[Table1]" displayFolder="" count="0" memberValueDatatype="130" unbalanced="0"/>
    <cacheHierarchy uniqueName="[Table1].[How often do you experience network issues?]" caption="How often do you experience network issues?" attribute="1" defaultMemberUniqueName="[Table1].[How often do you experience network issues?].[All]" allUniqueName="[Table1].[How often do you experience network issues?].[All]" dimensionUniqueName="[Table1]" displayFolder="" count="2" memberValueDatatype="130" unbalanced="0">
      <fieldsUsage count="2">
        <fieldUsage x="-1"/>
        <fieldUsage x="1"/>
      </fieldsUsage>
    </cacheHierarchy>
    <cacheHierarchy uniqueName="[Table1].[What network do you believe is most reliable in your area?]" caption="What network do you believe is most reliable in your area?" attribute="1" defaultMemberUniqueName="[Table1].[What network do you believe is most reliable in your area?].[All]" allUniqueName="[Table1].[What network do you believe is most reliable in your area?].[All]" dimensionUniqueName="[Table1]" displayFolder="" count="2" memberValueDatatype="130" unbalanced="0"/>
    <cacheHierarchy uniqueName="[Table1].[How likely are you to switch allegiances?]" caption="How likely are you to switch allegiances?" attribute="1" defaultMemberUniqueName="[Table1].[How likely are you to switch allegiances?].[All]" allUniqueName="[Table1].[How likely are you to switch allegiances?].[All]" dimensionUniqueName="[Table1]" displayFolder="" count="0" memberValueDatatype="130" unbalanced="0"/>
    <cacheHierarchy uniqueName="[Table1].[Monthly_Spend_Numeric]" caption="Monthly_Spend_Numeric" attribute="1" defaultMemberUniqueName="[Table1].[Monthly_Spend_Numeric].[All]" allUniqueName="[Table1].[Monthly_Spend_Numeric].[All]" dimensionUniqueName="[Table1]" displayFolder="" count="0" memberValueDatatype="20" unbalanced="0"/>
    <cacheHierarchy uniqueName="[Table1].[Future_Value_2yrs_10pct]" caption="Future_Value_2yrs_10pct" attribute="1" defaultMemberUniqueName="[Table1].[Future_Value_2yrs_10pct].[All]" allUniqueName="[Table1].[Future_Value_2yrs_10pct].[All]" dimensionUniqueName="[Table1]" displayFolder="" count="0" memberValueDatatype="5" unbalanced="0"/>
    <cacheHierarchy uniqueName="[Table1].[Present_Value_2yrs_10pct]" caption="Present_Value_2yrs_10pct" attribute="1" defaultMemberUniqueName="[Table1].[Present_Value_2yrs_10pct].[All]" allUniqueName="[Table1].[Present_Value_2yrs_10pct].[All]" dimensionUniqueName="[Table1]" displayFolder="" count="0" memberValueDatatype="5" unbalanced="0"/>
    <cacheHierarchy uniqueName="[Table1].[Monthly_Savings_for_1M_Goal]" caption="Monthly_Savings_for_1M_Goal" attribute="1" defaultMemberUniqueName="[Table1].[Monthly_Savings_for_1M_Goal].[All]" allUniqueName="[Table1].[Monthly_Savings_for_1M_Goal].[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What's your primary network provider]" caption="Count of What's your primary network provider" measure="1" displayFolder="" measureGroup="Table1" count="0" hidden="1">
      <extLst>
        <ext xmlns:x15="http://schemas.microsoft.com/office/spreadsheetml/2010/11/main" uri="{B97F6D7D-B522-45F9-BDA1-12C45D357490}">
          <x15:cacheHierarchy aggregatedColumn="2"/>
        </ext>
      </extLst>
    </cacheHierarchy>
    <cacheHierarchy uniqueName="[Measures].[Count of Username]" caption="Count of User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Monthly_Spend_Numeric]" caption="Sum of Monthly_Spend_Numeric" measure="1" displayFolder="" measureGroup="Table1" count="0" hidden="1">
      <extLst>
        <ext xmlns:x15="http://schemas.microsoft.com/office/spreadsheetml/2010/11/main" uri="{B97F6D7D-B522-45F9-BDA1-12C45D357490}">
          <x15:cacheHierarchy aggregatedColumn="7"/>
        </ext>
      </extLst>
    </cacheHierarchy>
    <cacheHierarchy uniqueName="[Measures].[Sum of Future_Value_2yrs_10pct]" caption="Sum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Future_Value_2yrs_10pct]" caption="Average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pend_Numeric]" caption="Average of Monthly_Spend_Numeric"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622340277776" createdVersion="3" refreshedVersion="8" minRefreshableVersion="3" recordCount="0" supportSubquery="1" supportAdvancedDrill="1" xr:uid="{492830E3-85A4-43A8-9066-AD309FE4AC00}">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Timestamp]" caption="Timestamp" attribute="1" defaultMemberUniqueName="[Table1].[Timestamp].[All]" allUniqueName="[Table1].[Timestamp].[All]" dimensionUniqueName="[Table1]" displayFolder="" count="0" memberValueDatatype="130" unbalanced="0"/>
    <cacheHierarchy uniqueName="[Table1].[Username]" caption="Username" attribute="1" defaultMemberUniqueName="[Table1].[Username].[All]" allUniqueName="[Table1].[Username].[All]" dimensionUniqueName="[Table1]" displayFolder="" count="0" memberValueDatatype="130" unbalanced="0"/>
    <cacheHierarchy uniqueName="[Table1].[What's your primary network provider]" caption="What's your primary network provider" attribute="1" defaultMemberUniqueName="[Table1].[What's your primary network provider].[All]" allUniqueName="[Table1].[What's your primary network provider].[All]" dimensionUniqueName="[Table1]" displayFolder="" count="2" memberValueDatatype="130" unbalanced="0"/>
    <cacheHierarchy uniqueName="[Table1].[How much do you spend on data monthly?]" caption="How much do you spend on data monthly?" attribute="1" defaultMemberUniqueName="[Table1].[How much do you spend on data monthly?].[All]" allUniqueName="[Table1].[How much do you spend on data monthly?].[All]" dimensionUniqueName="[Table1]" displayFolder="" count="0" memberValueDatatype="130" unbalanced="0"/>
    <cacheHierarchy uniqueName="[Table1].[How often do you experience network issues?]" caption="How often do you experience network issues?" attribute="1" defaultMemberUniqueName="[Table1].[How often do you experience network issues?].[All]" allUniqueName="[Table1].[How often do you experience network issues?].[All]" dimensionUniqueName="[Table1]" displayFolder="" count="2" memberValueDatatype="130" unbalanced="0"/>
    <cacheHierarchy uniqueName="[Table1].[What network do you believe is most reliable in your area?]" caption="What network do you believe is most reliable in your area?" attribute="1" defaultMemberUniqueName="[Table1].[What network do you believe is most reliable in your area?].[All]" allUniqueName="[Table1].[What network do you believe is most reliable in your area?].[All]" dimensionUniqueName="[Table1]" displayFolder="" count="0" memberValueDatatype="130" unbalanced="0"/>
    <cacheHierarchy uniqueName="[Table1].[How likely are you to switch allegiances?]" caption="How likely are you to switch allegiances?" attribute="1" defaultMemberUniqueName="[Table1].[How likely are you to switch allegiances?].[All]" allUniqueName="[Table1].[How likely are you to switch allegiances?].[All]" dimensionUniqueName="[Table1]" displayFolder="" count="0" memberValueDatatype="130" unbalanced="0"/>
    <cacheHierarchy uniqueName="[Table1].[Monthly_Spend_Numeric]" caption="Monthly_Spend_Numeric" attribute="1" defaultMemberUniqueName="[Table1].[Monthly_Spend_Numeric].[All]" allUniqueName="[Table1].[Monthly_Spend_Numeric].[All]" dimensionUniqueName="[Table1]" displayFolder="" count="0" memberValueDatatype="20" unbalanced="0"/>
    <cacheHierarchy uniqueName="[Table1].[Future_Value_2yrs_10pct]" caption="Future_Value_2yrs_10pct" attribute="1" defaultMemberUniqueName="[Table1].[Future_Value_2yrs_10pct].[All]" allUniqueName="[Table1].[Future_Value_2yrs_10pct].[All]" dimensionUniqueName="[Table1]" displayFolder="" count="0" memberValueDatatype="5" unbalanced="0"/>
    <cacheHierarchy uniqueName="[Table1].[Present_Value_2yrs_10pct]" caption="Present_Value_2yrs_10pct" attribute="1" defaultMemberUniqueName="[Table1].[Present_Value_2yrs_10pct].[All]" allUniqueName="[Table1].[Present_Value_2yrs_10pct].[All]" dimensionUniqueName="[Table1]" displayFolder="" count="0" memberValueDatatype="5" unbalanced="0"/>
    <cacheHierarchy uniqueName="[Table1].[Monthly_Savings_for_1M_Goal]" caption="Monthly_Savings_for_1M_Goal" attribute="1" defaultMemberUniqueName="[Table1].[Monthly_Savings_for_1M_Goal].[All]" allUniqueName="[Table1].[Monthly_Savings_for_1M_Goal].[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What's your primary network provider]" caption="Count of What's your primary network provider" measure="1" displayFolder="" measureGroup="Table1" count="0" hidden="1">
      <extLst>
        <ext xmlns:x15="http://schemas.microsoft.com/office/spreadsheetml/2010/11/main" uri="{B97F6D7D-B522-45F9-BDA1-12C45D357490}">
          <x15:cacheHierarchy aggregatedColumn="2"/>
        </ext>
      </extLst>
    </cacheHierarchy>
    <cacheHierarchy uniqueName="[Measures].[Count of Username]" caption="Count of Username" measure="1" displayFolder="" measureGroup="Table1" count="0" hidden="1">
      <extLst>
        <ext xmlns:x15="http://schemas.microsoft.com/office/spreadsheetml/2010/11/main" uri="{B97F6D7D-B522-45F9-BDA1-12C45D357490}">
          <x15:cacheHierarchy aggregatedColumn="1"/>
        </ext>
      </extLst>
    </cacheHierarchy>
    <cacheHierarchy uniqueName="[Measures].[Sum of Monthly_Spend_Numeric]" caption="Sum of Monthly_Spend_Numeric" measure="1" displayFolder="" measureGroup="Table1" count="0" hidden="1">
      <extLst>
        <ext xmlns:x15="http://schemas.microsoft.com/office/spreadsheetml/2010/11/main" uri="{B97F6D7D-B522-45F9-BDA1-12C45D357490}">
          <x15:cacheHierarchy aggregatedColumn="7"/>
        </ext>
      </extLst>
    </cacheHierarchy>
    <cacheHierarchy uniqueName="[Measures].[Sum of Future_Value_2yrs_10pct]" caption="Sum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Future_Value_2yrs_10pct]" caption="Average of Future_Value_2yrs_10pct"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pend_Numeric]" caption="Average of Monthly_Spend_Numeric" measure="1" displayFolder="" measureGroup="Table1" count="0" hidden="1">
      <extLst>
        <ext xmlns:x15="http://schemas.microsoft.com/office/spreadsheetml/2010/11/main" uri="{B97F6D7D-B522-45F9-BDA1-12C45D357490}">
          <x15:cacheHierarchy aggregatedColumn="7"/>
        </ext>
      </extLst>
    </cacheHierarchy>
    <cacheHierarchy uniqueName="[Measures].[Count of What network do you believe is most reliable in your area?]" caption="Count of What network do you believe is most reliable in your area?"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094858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6980B-675B-4668-8576-09EDAA6D3122}" name="PivotTable4" cacheId="3" applyNumberFormats="0" applyBorderFormats="0" applyFontFormats="0" applyPatternFormats="0" applyAlignmentFormats="0" applyWidthHeightFormats="1" dataCaption="Values" tag="229960ef-042b-41b2-bb66-0edc319ae20c" updatedVersion="8" minRefreshableVersion="3" useAutoFormatting="1" subtotalHiddenItems="1" itemPrintTitles="1" createdVersion="5" indent="0" outline="1" outlineData="1" multipleFieldFilters="0" chartFormat="6" rowHeaderCaption="Loyalty Status">
  <location ref="B19:C2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Users" fld="0" subtotal="count" baseField="1"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Us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8E059-CF4C-4C51-AA83-9C57525F45A1}" name="PivotTable3" cacheId="2" applyNumberFormats="0" applyBorderFormats="0" applyFontFormats="0" applyPatternFormats="0" applyAlignmentFormats="0" applyWidthHeightFormats="1" dataCaption="Values" tag="3770aa63-3e26-4d3e-9acf-8dc020c9716a" updatedVersion="8" minRefreshableVersion="3" useAutoFormatting="1" subtotalHiddenItems="1" itemPrintTitles="1" createdVersion="5" indent="0" outline="1" outlineData="1" multipleFieldFilters="0" chartFormat="6" rowHeaderCaption="Reliability Percepective">
  <location ref="H3:I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Users" fld="0" subtotal="count" baseField="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Us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287ADC-D51A-420E-8AD4-D8CF26061E50}" name="PivotTable2" cacheId="1" applyNumberFormats="0" applyBorderFormats="0" applyFontFormats="0" applyPatternFormats="0" applyAlignmentFormats="0" applyWidthHeightFormats="1" dataCaption="Values" tag="70d15841-4ed2-4636-9490-4f3ccb681188" updatedVersion="8" minRefreshableVersion="3" useAutoFormatting="1" subtotalHiddenItems="1" itemPrintTitles="1" createdVersion="5" indent="0" outline="1" outlineData="1" multipleFieldFilters="0" chartFormat="5" rowHeaderCaption="Spending by Network">
  <location ref="E3:F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Monthly_Spend_Numeric" fld="1" subtotal="average"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Monthly_Spend_Numeric"/>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E83930-FDE6-4B88-A4EC-29A4C091ABB9}" name="PivotTable1" cacheId="0" applyNumberFormats="0" applyBorderFormats="0" applyFontFormats="0" applyPatternFormats="0" applyAlignmentFormats="0" applyWidthHeightFormats="1" dataCaption="Values" tag="faf2a183-735e-4424-843f-bf2fbf1a7370" updatedVersion="8" minRefreshableVersion="3" useAutoFormatting="1" subtotalHiddenItems="1" itemPrintTitles="1" createdVersion="5" indent="0" outline="1" outlineData="1" multipleFieldFilters="0" chartFormat="4" rowHeaderCaption="Network Share">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Users" fld="1"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1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Us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6ABE5A-B277-49DA-A380-91BD60F30472}" name="PivotTable6" cacheId="5" applyNumberFormats="0" applyBorderFormats="0" applyFontFormats="0" applyPatternFormats="0" applyAlignmentFormats="0" applyWidthHeightFormats="1" dataCaption="Values" tag="47c9b8fa-c395-44c8-a8e8-057cc72be8de" updatedVersion="8" minRefreshableVersion="3" useAutoFormatting="1" subtotalHiddenItems="1" itemPrintTitles="1" createdVersion="5" indent="0" outline="1" outlineData="1" multipleFieldFilters="0" chartFormat="4" rowHeaderCaption="Issue Frequency">
  <location ref="H19:I2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Users"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1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Us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AB4589-A9A1-4D82-91DC-3FD08594A9A2}" name="PivotTable5" cacheId="4" applyNumberFormats="0" applyBorderFormats="0" applyFontFormats="0" applyPatternFormats="0" applyAlignmentFormats="0" applyWidthHeightFormats="1" dataCaption="Values" tag="6f782d4a-c320-43f5-b0a9-af5aa8122a9e" updatedVersion="8" minRefreshableVersion="3" useAutoFormatting="1" subtotalHiddenItems="1" itemPrintTitles="1" createdVersion="5" indent="0" outline="1" outlineData="1" multipleFieldFilters="0" chartFormat="4" rowHeaderCaption="FV by Network">
  <location ref="E19:F2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Future_Value_2yrs_10pct" fld="1" subtotal="average" baseField="0" baseItem="0" numFmtId="1"/>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Future_Value_2yrs_10pct"/>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s_your_primary_network_provider" xr10:uid="{94CD3262-4353-4156-90E6-1265806C2702}" sourceName="[Table1].[What's your primary network provider]">
  <pivotTables>
    <pivotTable tabId="2" name="PivotTable1"/>
    <pivotTable tabId="2" name="PivotTable2"/>
    <pivotTable tabId="2" name="PivotTable3"/>
    <pivotTable tabId="2" name="PivotTable4"/>
    <pivotTable tabId="2" name="PivotTable5"/>
    <pivotTable tabId="2" name="PivotTable6"/>
  </pivotTables>
  <data>
    <olap pivotCacheId="1709485866">
      <levels count="2">
        <level uniqueName="[Table1].[What's your primary network provider].[(All)]" sourceCaption="(All)" count="0"/>
        <level uniqueName="[Table1].[What's your primary network provider].[What's your primary network provider]" sourceCaption="What's your primary network provider" count="3">
          <ranges>
            <range startItem="0">
              <i n="[Table1].[What's your primary network provider].&amp;[Airtel]" c="Airtel"/>
              <i n="[Table1].[What's your primary network provider].&amp;[Mtn]" c="Mtn"/>
              <i n="[Table1].[What's your primary network provider].&amp;[Others]" c="Others"/>
            </range>
          </ranges>
        </level>
      </levels>
      <selections count="1">
        <selection n="[Table1].[What's your primary network provi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w_often_do_you_experience_network_issues?" xr10:uid="{42F26783-E0DB-4FC1-B87E-202F17791264}" sourceName="[Table1].[How often do you experience network issues?]">
  <pivotTables>
    <pivotTable tabId="2" name="PivotTable1"/>
    <pivotTable tabId="2" name="PivotTable2"/>
    <pivotTable tabId="2" name="PivotTable3"/>
    <pivotTable tabId="2" name="PivotTable4"/>
    <pivotTable tabId="2" name="PivotTable5"/>
    <pivotTable tabId="2" name="PivotTable6"/>
  </pivotTables>
  <data>
    <olap pivotCacheId="1709485866">
      <levels count="2">
        <level uniqueName="[Table1].[How often do you experience network issues?].[(All)]" sourceCaption="(All)" count="0"/>
        <level uniqueName="[Table1].[How often do you experience network issues?].[How often do you experience network issues?]" sourceCaption="How often do you experience network issues?" count="2">
          <ranges>
            <range startItem="0">
              <i n="[Table1].[How often do you experience network issues?].&amp;[Always馃槫]" c="Always馃槫"/>
              <i n="[Table1].[How often do you experience network issues?].&amp;[Rarely]" c="Rarely"/>
            </range>
          </ranges>
        </level>
      </levels>
      <selections count="1">
        <selection n="[Table1].[How often do you experience network issu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at's your primary network provider" xr10:uid="{D265B522-EFA0-4B29-948F-E70FBBCD13D0}" cache="Slicer_What_s_your_primary_network_provider" caption="What's your primary network provider" level="1" rowHeight="251883"/>
  <slicer name="How often do you experience network issues?" xr10:uid="{970E8ED5-7023-4B6A-8A90-EDA69246D9EE}" cache="Slicer_How_often_do_you_experience_network_issues?" caption="How often do you experience network issues?"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159D55-A5FD-437C-8481-ED91F5903706}" name="Table1" displayName="Table1" ref="A1:K13" totalsRowShown="0">
  <autoFilter ref="A1:K13" xr:uid="{57159D55-A5FD-437C-8481-ED91F5903706}"/>
  <tableColumns count="11">
    <tableColumn id="1" xr3:uid="{966C6715-AFC4-40C7-BC37-34A39D113136}" name="Timestamp"/>
    <tableColumn id="2" xr3:uid="{F2376410-BD38-43A1-A342-CED0F4E9826A}" name="Username"/>
    <tableColumn id="3" xr3:uid="{803D6CB2-AAE2-4E9A-B89B-D4EEEDB36A53}" name="What's your primary network provider"/>
    <tableColumn id="4" xr3:uid="{80A8A901-81BE-4E75-867D-9E86C75CBD93}" name="How much do you spend on data monthly?"/>
    <tableColumn id="5" xr3:uid="{E57AB057-E790-4B3B-A878-79913296C4B3}" name="How often do you experience network issues?"/>
    <tableColumn id="6" xr3:uid="{E4A28760-63D8-484E-BFB2-076FF4DE121F}" name="What network do you believe is most reliable in your area?"/>
    <tableColumn id="7" xr3:uid="{BACC7F5A-5A70-48C2-B7FC-53E4F7590BD6}" name="How likely are you to switch allegiances?"/>
    <tableColumn id="8" xr3:uid="{F7E7DA57-F87E-49D8-9FBF-0A653D802C44}" name="Monthly_Spend_Numeric">
      <calculatedColumnFormula>(_xlfn.NUMBERVALUE(SUBSTITUTE(TRIM(LEFT(D2, FIND("-", D2)-1)), ",", "")) + _xlfn.NUMBERVALUE(SUBSTITUTE(TRIM(MID(D2, FIND("-", D2)+1, LEN(D2))), ",", ""))) / 2</calculatedColumnFormula>
    </tableColumn>
    <tableColumn id="9" xr3:uid="{83164D5E-A243-40CB-B256-6D63AB15A589}" name="Future_Value_2yrs_10pct" dataDxfId="2">
      <calculatedColumnFormula>FV(0.1/12, 24, -H2)</calculatedColumnFormula>
    </tableColumn>
    <tableColumn id="10" xr3:uid="{BC5A7FDE-84CC-421C-ABD4-CCA06BAC6CC8}" name="Present_Value_2yrs_10pct" dataDxfId="1">
      <calculatedColumnFormula>PV(0.1/12, 24, -H2)</calculatedColumnFormula>
    </tableColumn>
    <tableColumn id="11" xr3:uid="{411CFF2E-B564-4174-A388-DB3F630CDEAB}" name="Monthly_Savings_for_1M_Goal" dataDxfId="0">
      <calculatedColumnFormula>PMT(0.1/12, 24, 0, 1000000)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favourakhile234@gmail.com" TargetMode="External"/><Relationship Id="rId2" Type="http://schemas.openxmlformats.org/officeDocument/2006/relationships/hyperlink" Target="mailto:e.olatunji318@gmail.com" TargetMode="External"/><Relationship Id="rId1" Type="http://schemas.openxmlformats.org/officeDocument/2006/relationships/hyperlink" Target="mailto:koladefas02@gmail.com" TargetMode="External"/><Relationship Id="rId6" Type="http://schemas.openxmlformats.org/officeDocument/2006/relationships/table" Target="../tables/table1.xml"/><Relationship Id="rId5" Type="http://schemas.openxmlformats.org/officeDocument/2006/relationships/hyperlink" Target="mailto:ezefavourite007@gmail.com" TargetMode="External"/><Relationship Id="rId4" Type="http://schemas.openxmlformats.org/officeDocument/2006/relationships/hyperlink" Target="mailto:francafrancis20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94AF-7DBB-4A2F-B08D-D413A70F3088}">
  <dimension ref="B3:I23"/>
  <sheetViews>
    <sheetView tabSelected="1" zoomScale="72" workbookViewId="0">
      <selection activeCell="A12" sqref="A12"/>
    </sheetView>
  </sheetViews>
  <sheetFormatPr defaultRowHeight="14.5" x14ac:dyDescent="0.35"/>
  <cols>
    <col min="2" max="2" width="17" customWidth="1"/>
    <col min="3" max="3" width="13.08984375" bestFit="1" customWidth="1"/>
    <col min="4" max="4" width="12.453125" bestFit="1" customWidth="1"/>
    <col min="5" max="5" width="21.81640625" customWidth="1"/>
    <col min="6" max="6" width="31" bestFit="1" customWidth="1"/>
    <col min="7" max="7" width="17" bestFit="1" customWidth="1"/>
    <col min="8" max="8" width="23.1796875" customWidth="1"/>
    <col min="9" max="9" width="13.08984375" bestFit="1" customWidth="1"/>
    <col min="10" max="10" width="21.6328125" bestFit="1" customWidth="1"/>
    <col min="11" max="11" width="23.6328125" bestFit="1" customWidth="1"/>
    <col min="12" max="12" width="22.6328125" bestFit="1" customWidth="1"/>
    <col min="13" max="13" width="24.36328125" bestFit="1" customWidth="1"/>
    <col min="14" max="14" width="30.36328125" bestFit="1" customWidth="1"/>
    <col min="15" max="15" width="10.36328125" bestFit="1" customWidth="1"/>
  </cols>
  <sheetData>
    <row r="3" spans="2:9" x14ac:dyDescent="0.35">
      <c r="B3" s="2" t="s">
        <v>44</v>
      </c>
      <c r="C3" t="s">
        <v>45</v>
      </c>
      <c r="E3" s="2" t="s">
        <v>46</v>
      </c>
      <c r="F3" t="s">
        <v>49</v>
      </c>
      <c r="H3" s="2" t="s">
        <v>47</v>
      </c>
      <c r="I3" t="s">
        <v>45</v>
      </c>
    </row>
    <row r="4" spans="2:9" x14ac:dyDescent="0.35">
      <c r="B4" s="3" t="s">
        <v>12</v>
      </c>
      <c r="C4">
        <v>6</v>
      </c>
      <c r="E4" s="3" t="s">
        <v>12</v>
      </c>
      <c r="F4">
        <v>11500</v>
      </c>
      <c r="H4" s="3" t="s">
        <v>12</v>
      </c>
      <c r="I4">
        <v>4</v>
      </c>
    </row>
    <row r="5" spans="2:9" x14ac:dyDescent="0.35">
      <c r="B5" s="3" t="s">
        <v>15</v>
      </c>
      <c r="C5">
        <v>5</v>
      </c>
      <c r="E5" s="3" t="s">
        <v>15</v>
      </c>
      <c r="F5">
        <v>13400</v>
      </c>
      <c r="H5" s="3" t="s">
        <v>15</v>
      </c>
      <c r="I5">
        <v>5</v>
      </c>
    </row>
    <row r="6" spans="2:9" x14ac:dyDescent="0.35">
      <c r="B6" s="3" t="s">
        <v>38</v>
      </c>
      <c r="C6">
        <v>1</v>
      </c>
      <c r="E6" s="3" t="s">
        <v>38</v>
      </c>
      <c r="F6">
        <v>20500</v>
      </c>
      <c r="H6" s="3" t="s">
        <v>22</v>
      </c>
      <c r="I6">
        <v>3</v>
      </c>
    </row>
    <row r="7" spans="2:9" x14ac:dyDescent="0.35">
      <c r="B7" s="3" t="s">
        <v>43</v>
      </c>
      <c r="C7">
        <v>12</v>
      </c>
      <c r="E7" s="3" t="s">
        <v>43</v>
      </c>
      <c r="F7">
        <v>13041.666666666666</v>
      </c>
      <c r="H7" s="3" t="s">
        <v>43</v>
      </c>
      <c r="I7">
        <v>12</v>
      </c>
    </row>
    <row r="19" spans="2:9" x14ac:dyDescent="0.35">
      <c r="B19" s="2" t="s">
        <v>61</v>
      </c>
      <c r="C19" t="s">
        <v>45</v>
      </c>
      <c r="E19" s="2" t="s">
        <v>51</v>
      </c>
      <c r="F19" t="s">
        <v>48</v>
      </c>
      <c r="H19" s="2" t="s">
        <v>50</v>
      </c>
      <c r="I19" t="s">
        <v>45</v>
      </c>
    </row>
    <row r="20" spans="2:9" x14ac:dyDescent="0.35">
      <c r="B20" s="3" t="s">
        <v>18</v>
      </c>
      <c r="C20">
        <v>4</v>
      </c>
      <c r="E20" s="3" t="s">
        <v>12</v>
      </c>
      <c r="F20" s="4">
        <v>304139.52833333332</v>
      </c>
      <c r="H20" s="3" t="s">
        <v>14</v>
      </c>
      <c r="I20">
        <v>10</v>
      </c>
    </row>
    <row r="21" spans="2:9" x14ac:dyDescent="0.35">
      <c r="B21" s="3" t="s">
        <v>23</v>
      </c>
      <c r="C21">
        <v>3</v>
      </c>
      <c r="E21" s="3" t="s">
        <v>15</v>
      </c>
      <c r="F21" s="4">
        <v>354388.66600000003</v>
      </c>
      <c r="H21" s="3" t="s">
        <v>26</v>
      </c>
      <c r="I21">
        <v>2</v>
      </c>
    </row>
    <row r="22" spans="2:9" x14ac:dyDescent="0.35">
      <c r="B22" s="3" t="s">
        <v>16</v>
      </c>
      <c r="C22">
        <v>5</v>
      </c>
      <c r="E22" s="3" t="s">
        <v>38</v>
      </c>
      <c r="F22" s="4">
        <v>542161.76</v>
      </c>
      <c r="H22" s="3" t="s">
        <v>43</v>
      </c>
      <c r="I22">
        <v>12</v>
      </c>
    </row>
    <row r="23" spans="2:9" x14ac:dyDescent="0.35">
      <c r="B23" s="3" t="s">
        <v>43</v>
      </c>
      <c r="C23">
        <v>12</v>
      </c>
      <c r="E23" s="3" t="s">
        <v>43</v>
      </c>
      <c r="F23" s="4">
        <v>344911.85499999998</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71D69-540E-4A96-92BC-0F087A9B466B}">
  <dimension ref="A1"/>
  <sheetViews>
    <sheetView showGridLines="0" workbookViewId="0">
      <selection activeCell="P30" sqref="P3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DEB3-2F3F-4032-BBE1-DEFE54C73AA2}">
  <dimension ref="A1:K19"/>
  <sheetViews>
    <sheetView workbookViewId="0">
      <selection activeCell="I2" sqref="I2"/>
    </sheetView>
  </sheetViews>
  <sheetFormatPr defaultRowHeight="14.5" x14ac:dyDescent="0.35"/>
  <cols>
    <col min="1" max="1" width="25.81640625" bestFit="1" customWidth="1"/>
    <col min="2" max="2" width="29.54296875" bestFit="1" customWidth="1"/>
    <col min="3" max="3" width="33.7265625" customWidth="1"/>
    <col min="4" max="4" width="37.7265625" customWidth="1"/>
    <col min="5" max="5" width="40.36328125" customWidth="1"/>
    <col min="6" max="6" width="47.453125" bestFit="1" customWidth="1"/>
    <col min="7" max="7" width="36.453125" customWidth="1"/>
    <col min="8" max="8" width="23.7265625" customWidth="1"/>
    <col min="9" max="9" width="23.6328125" customWidth="1"/>
    <col min="10" max="10" width="24.54296875" customWidth="1"/>
    <col min="11" max="11" width="27.81640625" customWidth="1"/>
  </cols>
  <sheetData>
    <row r="1" spans="1:11" x14ac:dyDescent="0.35">
      <c r="A1" t="s">
        <v>0</v>
      </c>
      <c r="B1" t="s">
        <v>1</v>
      </c>
      <c r="C1" t="s">
        <v>2</v>
      </c>
      <c r="D1" t="s">
        <v>3</v>
      </c>
      <c r="E1" t="s">
        <v>4</v>
      </c>
      <c r="F1" t="s">
        <v>5</v>
      </c>
      <c r="G1" t="s">
        <v>6</v>
      </c>
      <c r="H1" t="s">
        <v>7</v>
      </c>
      <c r="I1" t="s">
        <v>8</v>
      </c>
      <c r="J1" t="s">
        <v>9</v>
      </c>
      <c r="K1" t="s">
        <v>10</v>
      </c>
    </row>
    <row r="2" spans="1:11" x14ac:dyDescent="0.35">
      <c r="A2" t="s">
        <v>54</v>
      </c>
      <c r="B2" s="5" t="s">
        <v>11</v>
      </c>
      <c r="C2" t="s">
        <v>12</v>
      </c>
      <c r="D2" t="s">
        <v>13</v>
      </c>
      <c r="E2" t="s">
        <v>14</v>
      </c>
      <c r="F2" t="s">
        <v>15</v>
      </c>
      <c r="G2" t="s">
        <v>16</v>
      </c>
      <c r="H2">
        <f>(_xlfn.NUMBERVALUE(SUBSTITUTE(TRIM(LEFT(D2, FIND("-", D2)-1)), ",", "")) + _xlfn.NUMBERVALUE(SUBSTITUTE(TRIM(MID(D2, FIND("-", D2)+1, LEN(D2))), ",", ""))) / 2</f>
        <v>13000</v>
      </c>
      <c r="I2" s="1">
        <f>FV(0.1/12, 24, -H2)</f>
        <v>343809.89974587213</v>
      </c>
      <c r="J2" s="1">
        <f>PV(0.1/12, 24, -H2)</f>
        <v>281721.11284595891</v>
      </c>
      <c r="K2" s="1">
        <f>PMT(0.1/12, 24, 0, 1000000)</f>
        <v>-37811.593004183167</v>
      </c>
    </row>
    <row r="3" spans="1:11" x14ac:dyDescent="0.35">
      <c r="A3" t="s">
        <v>55</v>
      </c>
      <c r="B3" s="5" t="s">
        <v>17</v>
      </c>
      <c r="C3" t="s">
        <v>15</v>
      </c>
      <c r="D3" t="s">
        <v>13</v>
      </c>
      <c r="E3" t="s">
        <v>14</v>
      </c>
      <c r="F3" t="s">
        <v>15</v>
      </c>
      <c r="G3" t="s">
        <v>18</v>
      </c>
      <c r="H3">
        <f t="shared" ref="H3:H13" si="0">(_xlfn.NUMBERVALUE(SUBSTITUTE(TRIM(LEFT(D3, FIND("-", D3)-1)), ",", "")) + _xlfn.NUMBERVALUE(SUBSTITUTE(TRIM(MID(D3, FIND("-", D3)+1, LEN(D3))), ",", ""))) / 2</f>
        <v>13000</v>
      </c>
      <c r="I3" s="1">
        <f t="shared" ref="I3:I13" si="1">FV(0.1/12, 24, -H3)</f>
        <v>343809.89974587213</v>
      </c>
      <c r="J3" s="1">
        <f t="shared" ref="J3:J13" si="2">PV(0.1/12, 24, -H3)</f>
        <v>281721.11284595891</v>
      </c>
      <c r="K3" s="1">
        <f t="shared" ref="K3:K13" si="3">PMT(0.1/12, 24, 0, 1000000)</f>
        <v>-37811.593004183167</v>
      </c>
    </row>
    <row r="4" spans="1:11" x14ac:dyDescent="0.35">
      <c r="A4" t="s">
        <v>56</v>
      </c>
      <c r="B4" t="s">
        <v>19</v>
      </c>
      <c r="C4" t="s">
        <v>15</v>
      </c>
      <c r="D4" t="s">
        <v>20</v>
      </c>
      <c r="E4" t="s">
        <v>14</v>
      </c>
      <c r="F4" t="s">
        <v>15</v>
      </c>
      <c r="G4" t="s">
        <v>16</v>
      </c>
      <c r="H4">
        <f t="shared" si="0"/>
        <v>7500</v>
      </c>
      <c r="I4" s="1">
        <f t="shared" si="1"/>
        <v>198351.86523800314</v>
      </c>
      <c r="J4" s="1">
        <f t="shared" si="2"/>
        <v>162531.41125728397</v>
      </c>
      <c r="K4" s="1">
        <f t="shared" si="3"/>
        <v>-37811.593004183167</v>
      </c>
    </row>
    <row r="5" spans="1:11" x14ac:dyDescent="0.35">
      <c r="A5" t="s">
        <v>57</v>
      </c>
      <c r="B5" t="s">
        <v>21</v>
      </c>
      <c r="C5" t="s">
        <v>15</v>
      </c>
      <c r="D5" t="s">
        <v>13</v>
      </c>
      <c r="E5" t="s">
        <v>14</v>
      </c>
      <c r="F5" t="s">
        <v>22</v>
      </c>
      <c r="G5" t="s">
        <v>23</v>
      </c>
      <c r="H5">
        <f t="shared" si="0"/>
        <v>13000</v>
      </c>
      <c r="I5" s="1">
        <f t="shared" si="1"/>
        <v>343809.89974587213</v>
      </c>
      <c r="J5" s="1">
        <f t="shared" si="2"/>
        <v>281721.11284595891</v>
      </c>
      <c r="K5" s="1">
        <f t="shared" si="3"/>
        <v>-37811.593004183167</v>
      </c>
    </row>
    <row r="6" spans="1:11" x14ac:dyDescent="0.35">
      <c r="A6" t="s">
        <v>24</v>
      </c>
      <c r="B6" s="5" t="s">
        <v>25</v>
      </c>
      <c r="C6" t="s">
        <v>12</v>
      </c>
      <c r="D6" t="s">
        <v>20</v>
      </c>
      <c r="E6" t="s">
        <v>26</v>
      </c>
      <c r="F6" t="s">
        <v>12</v>
      </c>
      <c r="G6" t="s">
        <v>16</v>
      </c>
      <c r="H6">
        <f t="shared" si="0"/>
        <v>7500</v>
      </c>
      <c r="I6" s="1">
        <f t="shared" si="1"/>
        <v>198351.86523800314</v>
      </c>
      <c r="J6" s="1">
        <f t="shared" si="2"/>
        <v>162531.41125728397</v>
      </c>
      <c r="K6" s="1">
        <f t="shared" si="3"/>
        <v>-37811.593004183167</v>
      </c>
    </row>
    <row r="7" spans="1:11" x14ac:dyDescent="0.35">
      <c r="A7" t="s">
        <v>27</v>
      </c>
      <c r="B7" t="s">
        <v>28</v>
      </c>
      <c r="C7" t="s">
        <v>15</v>
      </c>
      <c r="D7" t="s">
        <v>13</v>
      </c>
      <c r="E7" t="s">
        <v>14</v>
      </c>
      <c r="F7" t="s">
        <v>22</v>
      </c>
      <c r="G7" t="s">
        <v>18</v>
      </c>
      <c r="H7">
        <f t="shared" si="0"/>
        <v>13000</v>
      </c>
      <c r="I7" s="1">
        <f t="shared" si="1"/>
        <v>343809.89974587213</v>
      </c>
      <c r="J7" s="1">
        <f t="shared" si="2"/>
        <v>281721.11284595891</v>
      </c>
      <c r="K7" s="1">
        <f t="shared" si="3"/>
        <v>-37811.593004183167</v>
      </c>
    </row>
    <row r="8" spans="1:11" x14ac:dyDescent="0.35">
      <c r="A8" t="s">
        <v>29</v>
      </c>
      <c r="B8" t="s">
        <v>30</v>
      </c>
      <c r="C8" t="s">
        <v>12</v>
      </c>
      <c r="D8" t="s">
        <v>20</v>
      </c>
      <c r="E8" t="s">
        <v>14</v>
      </c>
      <c r="F8" t="s">
        <v>15</v>
      </c>
      <c r="G8" t="s">
        <v>23</v>
      </c>
      <c r="H8">
        <f t="shared" si="0"/>
        <v>7500</v>
      </c>
      <c r="I8" s="1">
        <f t="shared" si="1"/>
        <v>198351.86523800314</v>
      </c>
      <c r="J8" s="1">
        <f t="shared" si="2"/>
        <v>162531.41125728397</v>
      </c>
      <c r="K8" s="1">
        <f t="shared" si="3"/>
        <v>-37811.593004183167</v>
      </c>
    </row>
    <row r="9" spans="1:11" x14ac:dyDescent="0.35">
      <c r="A9" t="s">
        <v>31</v>
      </c>
      <c r="B9" t="s">
        <v>32</v>
      </c>
      <c r="C9" t="s">
        <v>12</v>
      </c>
      <c r="D9" t="s">
        <v>33</v>
      </c>
      <c r="E9" t="s">
        <v>26</v>
      </c>
      <c r="F9" t="s">
        <v>15</v>
      </c>
      <c r="G9" t="s">
        <v>16</v>
      </c>
      <c r="H9">
        <f t="shared" si="0"/>
        <v>20500</v>
      </c>
      <c r="I9" s="1">
        <f t="shared" si="1"/>
        <v>542161.76498387521</v>
      </c>
      <c r="J9" s="1">
        <f t="shared" si="2"/>
        <v>444252.52410324285</v>
      </c>
      <c r="K9" s="1">
        <f t="shared" si="3"/>
        <v>-37811.593004183167</v>
      </c>
    </row>
    <row r="10" spans="1:11" x14ac:dyDescent="0.35">
      <c r="A10" t="s">
        <v>34</v>
      </c>
      <c r="B10" t="s">
        <v>35</v>
      </c>
      <c r="C10" t="s">
        <v>12</v>
      </c>
      <c r="D10" t="s">
        <v>13</v>
      </c>
      <c r="E10" t="s">
        <v>14</v>
      </c>
      <c r="F10" t="s">
        <v>12</v>
      </c>
      <c r="G10" t="s">
        <v>18</v>
      </c>
      <c r="H10">
        <f t="shared" si="0"/>
        <v>13000</v>
      </c>
      <c r="I10" s="1">
        <f t="shared" si="1"/>
        <v>343809.89974587213</v>
      </c>
      <c r="J10" s="1">
        <f t="shared" si="2"/>
        <v>281721.11284595891</v>
      </c>
      <c r="K10" s="1">
        <f t="shared" si="3"/>
        <v>-37811.593004183167</v>
      </c>
    </row>
    <row r="11" spans="1:11" x14ac:dyDescent="0.35">
      <c r="A11" t="s">
        <v>36</v>
      </c>
      <c r="B11" s="5" t="s">
        <v>37</v>
      </c>
      <c r="C11" t="s">
        <v>38</v>
      </c>
      <c r="D11" t="s">
        <v>33</v>
      </c>
      <c r="E11" t="s">
        <v>14</v>
      </c>
      <c r="F11" t="s">
        <v>22</v>
      </c>
      <c r="G11" t="s">
        <v>18</v>
      </c>
      <c r="H11">
        <f t="shared" si="0"/>
        <v>20500</v>
      </c>
      <c r="I11" s="1">
        <f t="shared" si="1"/>
        <v>542161.76498387521</v>
      </c>
      <c r="J11" s="1">
        <f t="shared" si="2"/>
        <v>444252.52410324285</v>
      </c>
      <c r="K11" s="1">
        <f t="shared" si="3"/>
        <v>-37811.593004183167</v>
      </c>
    </row>
    <row r="12" spans="1:11" x14ac:dyDescent="0.35">
      <c r="A12" t="s">
        <v>39</v>
      </c>
      <c r="B12" s="5" t="s">
        <v>40</v>
      </c>
      <c r="C12" t="s">
        <v>12</v>
      </c>
      <c r="D12" t="s">
        <v>20</v>
      </c>
      <c r="E12" t="s">
        <v>14</v>
      </c>
      <c r="F12" t="s">
        <v>12</v>
      </c>
      <c r="G12" t="s">
        <v>23</v>
      </c>
      <c r="H12">
        <f t="shared" si="0"/>
        <v>7500</v>
      </c>
      <c r="I12" s="1">
        <f t="shared" si="1"/>
        <v>198351.86523800314</v>
      </c>
      <c r="J12" s="1">
        <f t="shared" si="2"/>
        <v>162531.41125728397</v>
      </c>
      <c r="K12" s="1">
        <f t="shared" si="3"/>
        <v>-37811.593004183167</v>
      </c>
    </row>
    <row r="13" spans="1:11" x14ac:dyDescent="0.35">
      <c r="A13" t="s">
        <v>41</v>
      </c>
      <c r="B13" t="s">
        <v>42</v>
      </c>
      <c r="C13" t="s">
        <v>15</v>
      </c>
      <c r="D13" t="s">
        <v>33</v>
      </c>
      <c r="E13" t="s">
        <v>14</v>
      </c>
      <c r="F13" t="s">
        <v>12</v>
      </c>
      <c r="G13" t="s">
        <v>16</v>
      </c>
      <c r="H13">
        <f t="shared" si="0"/>
        <v>20500</v>
      </c>
      <c r="I13" s="1">
        <f t="shared" si="1"/>
        <v>542161.76498387521</v>
      </c>
      <c r="J13" s="1">
        <f t="shared" si="2"/>
        <v>444252.52410324285</v>
      </c>
      <c r="K13" s="1">
        <f t="shared" si="3"/>
        <v>-37811.593004183167</v>
      </c>
    </row>
    <row r="15" spans="1:11" x14ac:dyDescent="0.35">
      <c r="A15" s="7" t="s">
        <v>53</v>
      </c>
      <c r="B15" s="7" t="s">
        <v>52</v>
      </c>
      <c r="C15" s="7" t="s">
        <v>60</v>
      </c>
    </row>
    <row r="16" spans="1:11" x14ac:dyDescent="0.35">
      <c r="A16" s="8" t="str">
        <f>INDEX(D2:D13, MATCH("favourakhile234@gmail.com", B2:B13, 0))</f>
        <v>5,000 - 10,000</v>
      </c>
      <c r="B16" s="8" t="str">
        <f>_xlfn.XLOOKUP("e.olatunji318@gmail.com", B2:B13, C2:C13)</f>
        <v>Mtn</v>
      </c>
      <c r="C16" s="9" t="s">
        <v>58</v>
      </c>
      <c r="E16" s="6"/>
    </row>
    <row r="17" spans="1:3" x14ac:dyDescent="0.35">
      <c r="A17" s="8" t="str">
        <f>INDEX(D:D, MATCH("prospereze01@gmail.com", B:B, 0))</f>
        <v>11,000 - 15,000</v>
      </c>
      <c r="B17" s="8" t="str">
        <f>_xlfn.XLOOKUP("Vardy", B2:B13, C2:C13, "User Not Found")</f>
        <v>User Not Found</v>
      </c>
      <c r="C17" s="8" t="s">
        <v>59</v>
      </c>
    </row>
    <row r="18" spans="1:3" x14ac:dyDescent="0.35">
      <c r="A18" s="8" t="str">
        <f>INDEX(D:D, MATCH("uruncleswife67@gmail.com", B:B, 0))</f>
        <v>16,000 - 25,000</v>
      </c>
      <c r="B18" s="8" t="str">
        <f>_xlfn.XLOOKUP(B11, B2:B13, C2:C13)</f>
        <v>Others</v>
      </c>
      <c r="C18" s="10">
        <v>46149</v>
      </c>
    </row>
    <row r="19" spans="1:3" x14ac:dyDescent="0.35">
      <c r="A19" s="8" t="str">
        <f>INDEX(E:E, MATCH("ezefavourite007@gmail.com", B:B, 0))</f>
        <v>Rarely</v>
      </c>
      <c r="B19" s="8" t="str">
        <f>_xlfn.XLOOKUP(B11, B2:B13, E2:E13)</f>
        <v>Always馃槫</v>
      </c>
      <c r="C19" s="8">
        <v>4</v>
      </c>
    </row>
  </sheetData>
  <dataValidations disablePrompts="1" count="4">
    <dataValidation type="custom" allowBlank="1" showInputMessage="1" showErrorMessage="1" sqref="C18" xr:uid="{B73DF7D5-BE48-4E45-ADC9-9ACB2FAECAFC}">
      <formula1>C18&lt;=TODAY()</formula1>
    </dataValidation>
    <dataValidation type="custom" allowBlank="1" showInputMessage="1" showErrorMessage="1" sqref="C19" xr:uid="{14964349-1C2D-47AB-8912-A2BEC96C0D0B}">
      <formula1>WEEKDAY(C19,2)&lt;=5</formula1>
    </dataValidation>
    <dataValidation type="custom" allowBlank="1" showInputMessage="1" showErrorMessage="1" sqref="C16" xr:uid="{B5CB332E-593B-4DA8-A622-4F4C4A418787}">
      <formula1>AND(LEN(C16)=5, ISERR(VALUE(LEFT(C16,1))), ISNUMBER(VALUE(RIGHT(C16,4))))</formula1>
    </dataValidation>
    <dataValidation type="custom" allowBlank="1" showInputMessage="1" showErrorMessage="1" sqref="C17" xr:uid="{B6186386-A470-4FF1-B8A1-B5C68548D2F4}">
      <formula1>AND(LEN(C17)=7, LEFT(C17,3), ISNUMBER(VALUE(RIGHT(C17,4))))</formula1>
    </dataValidation>
  </dataValidations>
  <hyperlinks>
    <hyperlink ref="B2" r:id="rId1" xr:uid="{1A02CD1D-86C3-42E0-A1C6-E74F139E8532}"/>
    <hyperlink ref="B3" r:id="rId2" xr:uid="{323805C2-FCAB-444B-B9C2-8F8655FF4B33}"/>
    <hyperlink ref="B12" r:id="rId3" xr:uid="{7CFFE5A1-5AA7-4DE0-8FF3-9C8C2471B703}"/>
    <hyperlink ref="B11" r:id="rId4" xr:uid="{AA0A322B-C552-43FA-A348-6D319C2C4754}"/>
    <hyperlink ref="B6" r:id="rId5" xr:uid="{245445C9-4B74-4415-986A-3F23C65E3E07}"/>
  </hyperlinks>
  <pageMargins left="0.7" right="0.7" top="0.75" bottom="0.75" header="0.3" footer="0.3"/>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DE001944-F235-47C7-84E5-F0DA8C1C67C7}">
  <ds:schemaRefs/>
</ds:datastoreItem>
</file>

<file path=customXml/itemProps2.xml><?xml version="1.0" encoding="utf-8"?>
<ds:datastoreItem xmlns:ds="http://schemas.openxmlformats.org/officeDocument/2006/customXml" ds:itemID="{EAFE4BD4-E382-437A-9E84-F31181DD009A}">
  <ds:schemaRefs/>
</ds:datastoreItem>
</file>

<file path=customXml/itemProps3.xml><?xml version="1.0" encoding="utf-8"?>
<ds:datastoreItem xmlns:ds="http://schemas.openxmlformats.org/officeDocument/2006/customXml" ds:itemID="{95B37621-AFA8-4177-AE22-7B3D649B6B81}">
  <ds:schemaRefs/>
</ds:datastoreItem>
</file>

<file path=customXml/itemProps4.xml><?xml version="1.0" encoding="utf-8"?>
<ds:datastoreItem xmlns:ds="http://schemas.openxmlformats.org/officeDocument/2006/customXml" ds:itemID="{D475BF4B-D528-4479-81ED-CA2D7AFD70D8}">
  <ds:schemaRefs/>
</ds:datastoreItem>
</file>

<file path=customXml/itemProps5.xml><?xml version="1.0" encoding="utf-8"?>
<ds:datastoreItem xmlns:ds="http://schemas.openxmlformats.org/officeDocument/2006/customXml" ds:itemID="{25D1CC43-BBF9-435E-AFB1-04B0F1AA287D}">
  <ds:schemaRefs/>
</ds:datastoreItem>
</file>

<file path=customXml/itemProps6.xml><?xml version="1.0" encoding="utf-8"?>
<ds:datastoreItem xmlns:ds="http://schemas.openxmlformats.org/officeDocument/2006/customXml" ds:itemID="{7C0AC8CF-782A-448A-ACD9-35B234D75B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 and Charts</vt:lpstr>
      <vt:lpstr>RED VS YELLOW Project</vt:lpstr>
      <vt:lpstr>RED VS YELLOW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Prosper Eze</cp:lastModifiedBy>
  <dcterms:created xsi:type="dcterms:W3CDTF">2026-05-06T14:12:59Z</dcterms:created>
  <dcterms:modified xsi:type="dcterms:W3CDTF">2026-05-18T23:36:14Z</dcterms:modified>
</cp:coreProperties>
</file>